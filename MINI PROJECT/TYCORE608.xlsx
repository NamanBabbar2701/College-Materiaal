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1003"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Submit the Certificate in Project Document Link.</t>
      </text>
    </comment>
    <comment authorId="0" ref="H4">
      <text>
        <t xml:space="preserve">Submit the Proof in Project Document Link.</t>
      </text>
    </comment>
    <comment authorId="0" ref="J4">
      <text>
        <t xml:space="preserve">Write details about your achievements. For next line press  Ctrl + Enter</t>
      </text>
    </comment>
    <comment authorId="0" ref="F15">
      <text>
        <t xml:space="preserve">HTML/CSS: Markup and styling languages for web pages.
JavaScript: Programming language for interactive and dynamic elements on web pages.
Frameworks/Libraries: Such as React.js, Angular, or Vue.js for building complex front-end applications efficiently.
CSS Preprocessors: Like Sass or Less for enhanced CSS functionality.</t>
      </text>
    </comment>
    <comment authorId="0" ref="F16">
      <text>
        <t xml:space="preserve">Programming Languages: Such as Python, JavaScript (Node.js), Ruby, Java, PHP, or Go for server-side logic.
Frameworks: Examples include Express.js (for Node.js), Flask (for Python), Ruby on Rails, Spring Boot (for Java), Laravel (for PHP), etc.
Databases: Such as MySQL, PostgreSQL, MongoDB, SQLite, etc., for storing and managing data.
Web Servers: Like Apache, Nginx, or Microsoft IIS to serve web content.
APIs (Application Programming Interfaces): Used for communication between different software systems.</t>
      </text>
    </comment>
    <comment authorId="0" ref="F17">
      <text>
        <t xml:space="preserve">Relational Database Management Systems (RDBMS): Such as MySQL, PostgreSQL, SQL Server, Oracle, etc.
NoSQL Databases: Such as MongoDB, Cassandra, Redis, Couchbase, etc., for handling unstructured or semi-structured data.</t>
      </text>
    </comment>
    <comment authorId="0" ref="F18">
      <text>
        <t xml:space="preserve">Integrated Development Environments (IDEs): Such as Visual Studio Code, IntelliJ IDEA, Sublime Text, etc.
Version Control Systems (VCS): Like Git, Subversion (SVN), Mercurial, etc., for managing source code.
Package Managers: Such as npm (for Node.js), pip (for Python), Composer (for PHP), etc., for managing dependencies.
Testing Frameworks: Like Jest, Mocha, Jasmine, PHPUnit, etc., for automated testing.
Build Tools: Such as Webpack, Gulp, Grunt, etc., for automating tasks like compiling code, minification, etc.</t>
      </text>
    </comment>
    <comment authorId="0" ref="F19">
      <text>
        <t xml:space="preserve">Cloud Platforms: Such as AWS (Amazon Web Services), Google Cloud Platform (GCP), Microsoft Azure, etc.
Containers and Orchestration: Docker, Kubernetes, etc., for containerization and managing containerized applications.
Continuous Integration/Continuous Deployment (CI/CD): Tools like Jenkins, Travis CI, CircleCI, GitLab CI/CD, etc., for automating the build, test, and deployment process.
Monitoring and Logging Tools: Such as Prometheus, Grafana, ELK Stack (Elasticsearch, Logstash, Kibana), etc., for monitoring application performance and logs.</t>
      </text>
    </comment>
    <comment authorId="0" ref="F20">
      <text>
        <t xml:space="preserve">Mention how your project belongs to you specialization. Mention algorithm or tool or feature or infrastructure used.</t>
      </text>
    </comment>
    <comment authorId="0" ref="B21">
      <text>
        <t xml:space="preserve">An epic is a large body of work that can be broken down into a number of smaller stories, or sometimes called “Issues” in Jira.</t>
      </text>
    </comment>
    <comment authorId="0" ref="B22">
      <text>
        <t xml:space="preserve">A user story is the smallest unit of work in an agile framework. It’s an end goal, not a feature, expressed from the software user’s perspective.
A user story is an informal, general explanation of a software feature written from the perspective of the end user or customer. </t>
      </text>
    </comment>
    <comment authorId="0" ref="B27">
      <text>
        <t xml:space="preserve">Task represents the individual steps necessary to resolve the issue.
Technical input to developer in our case.</t>
      </text>
    </comment>
    <comment authorId="0" ref="B38">
      <text>
        <t xml:space="preserve">Using Acceptance Criteria on a Jira issues removes ambiguity about the expectations and prompts developers to think about the feature from the user's point of view. Acceptance Criteria also signal up front what level of testing will need to be done before the feature can be released.</t>
      </text>
    </comment>
    <comment authorId="0" ref="F48">
      <text>
        <t xml:space="preserve">Double Click for Date</t>
      </text>
    </comment>
    <comment authorId="0" ref="E66">
      <text>
        <t xml:space="preserve">Write in one cell with separated by commas.</t>
      </text>
    </comment>
    <comment authorId="0" ref="C70">
      <text>
        <t xml:space="preserve">Write in one cell with separated by commas.</t>
      </text>
    </comment>
    <comment authorId="0" ref="C73">
      <text>
        <t xml:space="preserve">Write in one cell with separated by commas.</t>
      </text>
    </comment>
  </commentList>
</comments>
</file>

<file path=xl/sharedStrings.xml><?xml version="1.0" encoding="utf-8"?>
<sst xmlns="http://schemas.openxmlformats.org/spreadsheetml/2006/main" count="213" uniqueCount="175">
  <si>
    <t>Project Development and Completion Tracker</t>
  </si>
  <si>
    <t xml:space="preserve">Porject ID: </t>
  </si>
  <si>
    <t>TYCORE608</t>
  </si>
  <si>
    <t>Class</t>
  </si>
  <si>
    <t>TY-Core-6</t>
  </si>
  <si>
    <t>Percentage of Project Completion:</t>
  </si>
  <si>
    <t>Copyright Status:</t>
  </si>
  <si>
    <t>In Progress</t>
  </si>
  <si>
    <t>Technnology Transfer:</t>
  </si>
  <si>
    <t>NO</t>
  </si>
  <si>
    <t>Project Domain</t>
  </si>
  <si>
    <t>Machine Learning &amp; AI</t>
  </si>
  <si>
    <t>Specialization</t>
  </si>
  <si>
    <t>CORE</t>
  </si>
  <si>
    <t>Map Sustainable Development Goal:</t>
  </si>
  <si>
    <t>4 Quality Education</t>
  </si>
  <si>
    <t>Paper Publication Status:</t>
  </si>
  <si>
    <t>Prepared</t>
  </si>
  <si>
    <t>Acheivements:</t>
  </si>
  <si>
    <t>_Type Your Answer_
1.
2.
3.</t>
  </si>
  <si>
    <t>Problem Statement</t>
  </si>
  <si>
    <t>To solve the problem of evaluating textbook quality before purchase, ensuring students and educators make informed decisions based on reliable reviews, structured insights, and OCR-based data analysis.</t>
  </si>
  <si>
    <t>GitHub Link:</t>
  </si>
  <si>
    <t>Meeting Count</t>
  </si>
  <si>
    <t>Enrollment Number</t>
  </si>
  <si>
    <t>Name of Studnets</t>
  </si>
  <si>
    <t>Contact Number</t>
  </si>
  <si>
    <t>Email ID</t>
  </si>
  <si>
    <t>Review-1 Marks</t>
  </si>
  <si>
    <t>Review-2 Marks</t>
  </si>
  <si>
    <t>Review-3 Marks</t>
  </si>
  <si>
    <t>Final Evaluation Marks (50)</t>
  </si>
  <si>
    <t>Total Marks (100)</t>
  </si>
  <si>
    <t>Project Development Student Team Memebers</t>
  </si>
  <si>
    <t>MITU22BTCS0467</t>
  </si>
  <si>
    <t>NAMAN  BABBAR</t>
  </si>
  <si>
    <t>TY-CORE6</t>
  </si>
  <si>
    <t>namanbabbar37@gmail.com</t>
  </si>
  <si>
    <t>MITU22BTCS0303</t>
  </si>
  <si>
    <t>GOUTAM  KUMAR</t>
  </si>
  <si>
    <t>goutamp241@gmail.com</t>
  </si>
  <si>
    <t>MITU22BTCS0104</t>
  </si>
  <si>
    <t>AMIT SANTOSH NISHANKAR</t>
  </si>
  <si>
    <t>whosaysamit21@gmail.com</t>
  </si>
  <si>
    <t>MITU22BTCS0390</t>
  </si>
  <si>
    <t>KHWAISH  AGARWAL</t>
  </si>
  <si>
    <t>khwaishag03@gmail.com</t>
  </si>
  <si>
    <t>Project Guide</t>
  </si>
  <si>
    <t>Prof. Umesh Nanavare</t>
  </si>
  <si>
    <t>Industry Mentor</t>
  </si>
  <si>
    <t>Reiview Date</t>
  </si>
  <si>
    <t>Comment by Jury/ Mentor</t>
  </si>
  <si>
    <t>Reivew Link</t>
  </si>
  <si>
    <t>Technology Stack</t>
  </si>
  <si>
    <t>Reivew-1</t>
  </si>
  <si>
    <t>28/02/2025</t>
  </si>
  <si>
    <t>Dataset should be decided properly</t>
  </si>
  <si>
    <t>Front-end (Client-side)</t>
  </si>
  <si>
    <t>Reivew-2</t>
  </si>
  <si>
    <t>23/04/2025</t>
  </si>
  <si>
    <t>Back-end (Server-side):</t>
  </si>
  <si>
    <t>Review-3</t>
  </si>
  <si>
    <t>Database Layer:</t>
  </si>
  <si>
    <t>Development Tools:</t>
  </si>
  <si>
    <t>Deployment and Infrastructure:</t>
  </si>
  <si>
    <t>Specialization Inlinement:</t>
  </si>
  <si>
    <t>Epic:</t>
  </si>
  <si>
    <t>As a patient,I should know what kind of symptom am suffering through and what medication is suitable.</t>
  </si>
  <si>
    <t>Story 1:</t>
  </si>
  <si>
    <t>As a patient, I should know what kind of symptom I have.</t>
  </si>
  <si>
    <t>Story 2:</t>
  </si>
  <si>
    <t>As a patient, I should know how to express my symptom to the chatbot.</t>
  </si>
  <si>
    <t xml:space="preserve">Story 3: </t>
  </si>
  <si>
    <t>As a patient, need recommendation of medicines on the basic of symptoms.</t>
  </si>
  <si>
    <t>Task1:</t>
  </si>
  <si>
    <t>Design patient registration layout with database configuration.</t>
  </si>
  <si>
    <t>Task2:</t>
  </si>
  <si>
    <t>Design login page layout.</t>
  </si>
  <si>
    <t>Task3:</t>
  </si>
  <si>
    <t>Design Chatbot</t>
  </si>
  <si>
    <t xml:space="preserve">Task4: </t>
  </si>
  <si>
    <t>Questionnaire for chatbot</t>
  </si>
  <si>
    <t>Task5:</t>
  </si>
  <si>
    <t>Implement a mechanism for chatboat to detect the user's symptom and medications.</t>
  </si>
  <si>
    <t>Task6:</t>
  </si>
  <si>
    <t xml:space="preserve">Design a website </t>
  </si>
  <si>
    <t>Task7:</t>
  </si>
  <si>
    <t xml:space="preserve"> Deploy chatbot to the website</t>
  </si>
  <si>
    <t>Acceptance Criteria</t>
  </si>
  <si>
    <t>Registration layout is following all registration inputs with validations for suitable and correct data.</t>
  </si>
  <si>
    <t>login layout suports gmail/ contact number/  Aadhar number (future scope) credetials with input validations.</t>
  </si>
  <si>
    <t>Users can initiate conversations with the chatbot through the web interface.</t>
  </si>
  <si>
    <t>Website working succesfully</t>
  </si>
  <si>
    <t>This is actual Devlopment planning and tracking. Don't add documentation, survey, topic finalization, etc. activities.</t>
  </si>
  <si>
    <t>Sprint No.</t>
  </si>
  <si>
    <t>Task Name</t>
  </si>
  <si>
    <t>Sub Tasks</t>
  </si>
  <si>
    <t>Task Status</t>
  </si>
  <si>
    <t>Assigned To</t>
  </si>
  <si>
    <t>Assigned Date</t>
  </si>
  <si>
    <t>Deadline</t>
  </si>
  <si>
    <t>Start Date</t>
  </si>
  <si>
    <t>Completion Date</t>
  </si>
  <si>
    <t>Completion Status</t>
  </si>
  <si>
    <t>Sprint 1</t>
  </si>
  <si>
    <t xml:space="preserve">Layout Design </t>
  </si>
  <si>
    <t>Not Started</t>
  </si>
  <si>
    <t>sushaan, saarthak</t>
  </si>
  <si>
    <t>03-03-2025</t>
  </si>
  <si>
    <t>Database configuration</t>
  </si>
  <si>
    <t>sushaan,saarthak</t>
  </si>
  <si>
    <t>15-03-2025</t>
  </si>
  <si>
    <t>rohan</t>
  </si>
  <si>
    <t>Database design and connectivity</t>
  </si>
  <si>
    <t>saarthak</t>
  </si>
  <si>
    <t>Sprint 2</t>
  </si>
  <si>
    <t>rohan,saarthak</t>
  </si>
  <si>
    <t>17-02-2025</t>
  </si>
  <si>
    <t>29-03-2025</t>
  </si>
  <si>
    <t>Sushaan</t>
  </si>
  <si>
    <t>Sprint 3</t>
  </si>
  <si>
    <t>Implement a mechanism for chatbot to detect the user symtoms</t>
  </si>
  <si>
    <t>31-03-2025</t>
  </si>
  <si>
    <t>Design a website</t>
  </si>
  <si>
    <t>saarthak,sushaan</t>
  </si>
  <si>
    <t>Sprint 4</t>
  </si>
  <si>
    <t>14-04-2025</t>
  </si>
  <si>
    <t>26-04-2025</t>
  </si>
  <si>
    <t>Publication Details</t>
  </si>
  <si>
    <t>Sr. No</t>
  </si>
  <si>
    <t>Paper Title</t>
  </si>
  <si>
    <t>Name of Journal</t>
  </si>
  <si>
    <t>Year</t>
  </si>
  <si>
    <t>Authors</t>
  </si>
  <si>
    <t>URL</t>
  </si>
  <si>
    <t>DOI</t>
  </si>
  <si>
    <t>Volume</t>
  </si>
  <si>
    <t>Page no.</t>
  </si>
  <si>
    <t>Publisher</t>
  </si>
  <si>
    <t>Patent Details</t>
  </si>
  <si>
    <t>Sr. No.</t>
  </si>
  <si>
    <t>Title</t>
  </si>
  <si>
    <t>Inventors</t>
  </si>
  <si>
    <t>Application No.</t>
  </si>
  <si>
    <t>Patent Number</t>
  </si>
  <si>
    <t>Filing Country</t>
  </si>
  <si>
    <t>Subject Category</t>
  </si>
  <si>
    <t>Filing Date</t>
  </si>
  <si>
    <t>Publication Date</t>
  </si>
  <si>
    <t>Publication Status</t>
  </si>
  <si>
    <t>Copyright Details</t>
  </si>
  <si>
    <t>Title of work</t>
  </si>
  <si>
    <t>Name of Applicants</t>
  </si>
  <si>
    <t>Registration No.</t>
  </si>
  <si>
    <t>Dairy Number</t>
  </si>
  <si>
    <t>Date</t>
  </si>
  <si>
    <t>Status</t>
  </si>
  <si>
    <t>Event and Participations Details</t>
  </si>
  <si>
    <t>Name of Event</t>
  </si>
  <si>
    <t>Type of Event</t>
  </si>
  <si>
    <t>Type of Participation</t>
  </si>
  <si>
    <t>Details of Prize won</t>
  </si>
  <si>
    <t>Add Weekly Meetings Details [ Minimum 12 meetings ]</t>
  </si>
  <si>
    <t>Attendees with commas</t>
  </si>
  <si>
    <t>Agenda points with commas</t>
  </si>
  <si>
    <t>Action Items</t>
  </si>
  <si>
    <t>Assigned to</t>
  </si>
  <si>
    <t>Status (click if completed)</t>
  </si>
  <si>
    <t>@</t>
  </si>
  <si>
    <t>@&lt;email address&gt;</t>
  </si>
  <si>
    <t>28/2/2025</t>
  </si>
  <si>
    <t>Amit, Naman, Goutam, Khwaish</t>
  </si>
  <si>
    <t>18/03/2025</t>
  </si>
  <si>
    <t>26/3/2025</t>
  </si>
  <si>
    <t>22/04/2025</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</si>
</sst>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m-dd-yyyy"/>
    <numFmt numFmtId="166" formatCode="m/d/yyyy"/>
  </numFmts>
  <fonts count="34">
    <font>
      <sz val="11.0"/>
      <color theme="1"/>
      <name val="Calibri"/>
      <scheme val="minor"/>
    </font>
    <font>
      <b/>
      <sz val="19.0"/>
      <color rgb="FF7030A0"/>
      <name val="Calibri"/>
    </font>
    <font/>
    <font>
      <b/>
      <sz val="11.0"/>
      <color rgb="FF000000"/>
      <name val="Calibri"/>
    </font>
    <font>
      <b/>
      <sz val="15.0"/>
      <color rgb="FF000000"/>
      <name val="Calibri"/>
    </font>
    <font>
      <b/>
      <sz val="12.0"/>
      <color rgb="FF000000"/>
      <name val="Calibri"/>
    </font>
    <font>
      <b/>
      <color theme="1"/>
      <name val="Calibri"/>
      <scheme val="minor"/>
    </font>
    <font>
      <b/>
      <i/>
      <sz val="12.0"/>
      <color rgb="FF0000FF"/>
      <name val="Calibri"/>
    </font>
    <font>
      <b/>
      <sz val="10.0"/>
      <color rgb="FF000000"/>
      <name val="Times New Roman"/>
    </font>
    <font>
      <b/>
      <sz val="11.0"/>
      <color rgb="FFFF0000"/>
      <name val="Calibri"/>
    </font>
    <font>
      <color rgb="FF000000"/>
      <name val="Calibri"/>
      <scheme val="minor"/>
    </font>
    <font>
      <color theme="1"/>
      <name val="Calibri"/>
      <scheme val="minor"/>
    </font>
    <font>
      <b/>
      <sz val="12.0"/>
      <color rgb="FFFFFFFF"/>
      <name val="Calibri"/>
      <scheme val="minor"/>
    </font>
    <font>
      <sz val="17.0"/>
      <color rgb="FFFFFFFF"/>
      <name val="Calibri"/>
      <scheme val="minor"/>
    </font>
    <font>
      <b/>
      <sz val="11.0"/>
      <color theme="1"/>
      <name val="Calibri"/>
    </font>
    <font>
      <b/>
      <sz val="11.0"/>
      <color rgb="FFFFFFFF"/>
      <name val="&quot;Times New Roman&quot;"/>
    </font>
    <font>
      <b/>
      <sz val="11.0"/>
      <color rgb="FFFFFFFF"/>
      <name val="Calibri"/>
    </font>
    <font>
      <b/>
      <color rgb="FFFFFFFF"/>
      <name val="Calibri"/>
      <scheme val="minor"/>
    </font>
    <font>
      <sz val="11.0"/>
      <color theme="1"/>
      <name val="Calibri"/>
    </font>
    <font>
      <u/>
      <sz val="11.0"/>
      <color rgb="FF0000FF"/>
      <name val="Calibri"/>
    </font>
    <font>
      <color rgb="FFFFFFFF"/>
      <name val="Calibri"/>
      <scheme val="minor"/>
    </font>
    <font>
      <sz val="11.0"/>
      <color rgb="FF0D0D0D"/>
      <name val="Calibri"/>
    </font>
    <font>
      <sz val="11.0"/>
      <color rgb="FF000000"/>
      <name val="Calibri"/>
    </font>
    <font>
      <b/>
      <sz val="17.0"/>
      <color rgb="FFFF0000"/>
      <name val="Calibri"/>
    </font>
    <font>
      <b/>
      <sz val="14.0"/>
      <color theme="1"/>
      <name val="Calibri"/>
    </font>
    <font>
      <sz val="11.0"/>
      <color rgb="FF000000"/>
      <name val="Roboto"/>
    </font>
    <font>
      <sz val="13.0"/>
      <color rgb="FF000000"/>
      <name val="Calibri"/>
    </font>
    <font>
      <sz val="14.0"/>
      <color rgb="FF000000"/>
      <name val="Calibri"/>
    </font>
    <font>
      <b/>
      <sz val="14.0"/>
      <color rgb="FF000000"/>
      <name val="Calibri"/>
    </font>
    <font>
      <sz val="15.0"/>
      <color theme="1"/>
      <name val="Calibri"/>
    </font>
    <font>
      <sz val="12.0"/>
      <color theme="1"/>
      <name val="Calibri"/>
    </font>
    <font>
      <sz val="13.0"/>
      <color theme="1"/>
      <name val="Calibri"/>
    </font>
    <font>
      <b/>
      <color rgb="FFFF0000"/>
      <name val="Calibri"/>
      <scheme val="minor"/>
    </font>
    <font>
      <sz val="10.0"/>
      <color theme="1"/>
      <name val="Calibri"/>
      <scheme val="minor"/>
    </font>
  </fonts>
  <fills count="24">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EFEFEF"/>
        <bgColor rgb="FFEFEFEF"/>
      </patternFill>
    </fill>
    <fill>
      <patternFill patternType="solid">
        <fgColor rgb="FF4C1130"/>
        <bgColor rgb="FF4C1130"/>
      </patternFill>
    </fill>
    <fill>
      <patternFill patternType="solid">
        <fgColor rgb="FFCCCCCC"/>
        <bgColor rgb="FFCCCCCC"/>
      </patternFill>
    </fill>
    <fill>
      <patternFill patternType="solid">
        <fgColor rgb="FF00B050"/>
        <bgColor rgb="FF00B050"/>
      </patternFill>
    </fill>
    <fill>
      <patternFill patternType="solid">
        <fgColor rgb="FFFFFFFF"/>
        <bgColor rgb="FFFFFFFF"/>
      </patternFill>
    </fill>
    <fill>
      <patternFill patternType="solid">
        <fgColor theme="0"/>
        <bgColor theme="0"/>
      </patternFill>
    </fill>
    <fill>
      <patternFill patternType="solid">
        <fgColor rgb="FFC27BA0"/>
        <bgColor rgb="FFC27BA0"/>
      </patternFill>
    </fill>
    <fill>
      <patternFill patternType="solid">
        <fgColor rgb="FF7030A0"/>
        <bgColor rgb="FF7030A0"/>
      </patternFill>
    </fill>
    <fill>
      <patternFill patternType="solid">
        <fgColor rgb="FFEAD1DC"/>
        <bgColor rgb="FFEAD1DC"/>
      </patternFill>
    </fill>
    <fill>
      <patternFill patternType="solid">
        <fgColor rgb="FFD9D2E9"/>
        <bgColor rgb="FFD9D2E9"/>
      </patternFill>
    </fill>
    <fill>
      <patternFill patternType="solid">
        <fgColor rgb="FFA64D79"/>
        <bgColor rgb="FFA64D79"/>
      </patternFill>
    </fill>
    <fill>
      <patternFill patternType="solid">
        <fgColor rgb="FFFBE4D5"/>
        <bgColor rgb="FFFBE4D5"/>
      </patternFill>
    </fill>
    <fill>
      <patternFill patternType="solid">
        <fgColor rgb="FF93C47D"/>
        <bgColor rgb="FF93C47D"/>
      </patternFill>
    </fill>
    <fill>
      <patternFill patternType="solid">
        <fgColor rgb="FFB6D7A8"/>
        <bgColor rgb="FFB6D7A8"/>
      </patternFill>
    </fill>
    <fill>
      <patternFill patternType="solid">
        <fgColor rgb="FFFFD966"/>
        <bgColor rgb="FFFFD966"/>
      </patternFill>
    </fill>
    <fill>
      <patternFill patternType="solid">
        <fgColor rgb="FFFFE599"/>
        <bgColor rgb="FFFFE599"/>
      </patternFill>
    </fill>
    <fill>
      <patternFill patternType="solid">
        <fgColor rgb="FFA5A5A5"/>
        <bgColor rgb="FFA5A5A5"/>
      </patternFill>
    </fill>
    <fill>
      <patternFill patternType="solid">
        <fgColor rgb="FFCFE2F3"/>
        <bgColor rgb="FFCFE2F3"/>
      </patternFill>
    </fill>
    <fill>
      <patternFill patternType="solid">
        <fgColor rgb="FFF3F3F3"/>
        <bgColor rgb="FFF3F3F3"/>
      </patternFill>
    </fill>
    <fill>
      <patternFill patternType="solid">
        <fgColor rgb="FF990000"/>
        <bgColor rgb="FF990000"/>
      </patternFill>
    </fill>
  </fills>
  <borders count="41">
    <border/>
    <border>
      <left/>
      <top/>
    </border>
    <border>
      <top/>
    </border>
    <border>
      <right/>
      <top/>
    </border>
    <border>
      <left/>
      <bottom/>
    </border>
    <border>
      <bottom/>
    </border>
    <border>
      <right/>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bottom style="medium">
        <color rgb="FF000000"/>
      </bottom>
    </border>
    <border>
      <right style="medium">
        <color rgb="FF000000"/>
      </right>
      <bottom style="medium">
        <color rgb="FF000000"/>
      </bottom>
    </border>
    <border>
      <top style="medium">
        <color rgb="FF000000"/>
      </top>
      <bottom style="medium">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right/>
      <bottom/>
    </border>
    <border>
      <left/>
      <right/>
      <top/>
      <bottom/>
    </border>
    <border>
      <left/>
      <top/>
      <bottom/>
    </border>
    <border>
      <top/>
      <bottom/>
    </border>
    <border>
      <right/>
      <top/>
      <bottom/>
    </border>
    <border>
      <left/>
      <right/>
      <top/>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rder>
    <border>
      <left style="thin">
        <color rgb="FF000000"/>
      </left>
      <right style="thin">
        <color rgb="FF000000"/>
      </right>
      <bottom style="thick">
        <color rgb="FF000000"/>
      </bottom>
    </border>
    <border>
      <left style="thin">
        <color rgb="FF000000"/>
      </left>
      <right style="thick">
        <color rgb="FF000000"/>
      </right>
      <top style="thin">
        <color rgb="FF000000"/>
      </top>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16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0" fillId="3" fontId="3" numFmtId="0" xfId="0" applyAlignment="1" applyFill="1" applyFont="1">
      <alignment horizontal="center" readingOrder="0" vertical="center"/>
    </xf>
    <xf borderId="0" fillId="0" fontId="3" numFmtId="0" xfId="0" applyAlignment="1" applyFont="1">
      <alignment horizontal="center" readingOrder="0" vertical="center"/>
    </xf>
    <xf borderId="0" fillId="3" fontId="3" numFmtId="0" xfId="0" applyAlignment="1" applyFont="1">
      <alignment horizontal="center" readingOrder="0" shrinkToFit="0" vertical="center" wrapText="1"/>
    </xf>
    <xf borderId="0" fillId="0" fontId="4" numFmtId="9" xfId="0" applyAlignment="1" applyFont="1" applyNumberFormat="1">
      <alignment horizontal="center"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center" readingOrder="0" vertical="center"/>
    </xf>
    <xf borderId="0" fillId="0" fontId="7" numFmtId="0" xfId="0" applyAlignment="1" applyFont="1">
      <alignment horizontal="center" readingOrder="0" shrinkToFit="0" vertical="center" wrapText="1"/>
    </xf>
    <xf borderId="0" fillId="0" fontId="8" numFmtId="0" xfId="0" applyAlignment="1" applyFont="1">
      <alignment horizontal="center" readingOrder="0" vertical="center"/>
    </xf>
    <xf borderId="0" fillId="0" fontId="3" numFmtId="0" xfId="0" applyAlignment="1" applyFont="1">
      <alignment horizontal="center" readingOrder="0" shrinkToFit="0" vertical="center" wrapText="1"/>
    </xf>
    <xf borderId="0" fillId="0" fontId="5" numFmtId="0" xfId="0" applyAlignment="1" applyFont="1">
      <alignment horizontal="center" readingOrder="0" vertical="center"/>
    </xf>
    <xf borderId="0" fillId="3" fontId="9" numFmtId="0" xfId="0" applyAlignment="1" applyFont="1">
      <alignment horizontal="center" readingOrder="0" shrinkToFit="0" vertical="center" wrapText="1"/>
    </xf>
    <xf borderId="7" fillId="4" fontId="10" numFmtId="0" xfId="0" applyAlignment="1" applyBorder="1" applyFill="1" applyFont="1">
      <alignment readingOrder="0"/>
    </xf>
    <xf borderId="8" fillId="0" fontId="2" numFmtId="0" xfId="0" applyBorder="1" applyFont="1"/>
    <xf borderId="7" fillId="0" fontId="3" numFmtId="0" xfId="0" applyAlignment="1" applyBorder="1" applyFont="1">
      <alignment horizontal="left" readingOrder="0" vertical="center"/>
    </xf>
    <xf borderId="9" fillId="0" fontId="11" numFmtId="0" xfId="0" applyAlignment="1" applyBorder="1" applyFont="1">
      <alignment horizontal="left" readingOrder="0" shrinkToFit="0" vertical="center" wrapText="1"/>
    </xf>
    <xf borderId="9" fillId="0" fontId="2" numFmtId="0" xfId="0" applyBorder="1" applyFont="1"/>
    <xf borderId="10" fillId="0" fontId="2" numFmtId="0" xfId="0" applyBorder="1" applyFont="1"/>
    <xf borderId="11" fillId="0" fontId="3" numFmtId="0" xfId="0" applyAlignment="1" applyBorder="1" applyFont="1">
      <alignment horizontal="left" readingOrder="0" vertical="center"/>
    </xf>
    <xf borderId="0" fillId="5" fontId="12" numFmtId="0" xfId="0" applyAlignment="1" applyFill="1" applyFont="1">
      <alignment horizontal="center" readingOrder="0" vertical="center"/>
    </xf>
    <xf borderId="0" fillId="5" fontId="13" numFmtId="0" xfId="0" applyAlignment="1" applyFont="1">
      <alignment horizontal="center" vertical="center"/>
    </xf>
    <xf borderId="12" fillId="6" fontId="3" numFmtId="0" xfId="0" applyAlignment="1" applyBorder="1" applyFill="1" applyFont="1">
      <alignment horizontal="center" shrinkToFit="0" vertical="center" wrapText="1"/>
    </xf>
    <xf borderId="12" fillId="6" fontId="3" numFmtId="0" xfId="0" applyAlignment="1" applyBorder="1" applyFont="1">
      <alignment horizontal="center" readingOrder="0" shrinkToFit="0" vertical="center" wrapText="1"/>
    </xf>
    <xf borderId="12" fillId="6" fontId="14" numFmtId="0" xfId="0" applyAlignment="1" applyBorder="1" applyFont="1">
      <alignment horizontal="center" readingOrder="0" shrinkToFit="0" vertical="center" wrapText="1"/>
    </xf>
    <xf borderId="12" fillId="7" fontId="15" numFmtId="0" xfId="0" applyAlignment="1" applyBorder="1" applyFill="1" applyFont="1">
      <alignment horizontal="center" shrinkToFit="0" vertical="center" wrapText="1"/>
    </xf>
    <xf borderId="12" fillId="7" fontId="16" numFmtId="0" xfId="0" applyAlignment="1" applyBorder="1" applyFont="1">
      <alignment horizontal="center" shrinkToFit="0" vertical="center" wrapText="1"/>
    </xf>
    <xf borderId="12" fillId="7" fontId="16" numFmtId="0" xfId="0" applyAlignment="1" applyBorder="1" applyFont="1">
      <alignment horizontal="center" readingOrder="0" shrinkToFit="0" vertical="center" wrapText="1"/>
    </xf>
    <xf borderId="12" fillId="7" fontId="17" numFmtId="0" xfId="0" applyAlignment="1" applyBorder="1" applyFont="1">
      <alignment horizontal="center" readingOrder="0" shrinkToFit="0" vertical="center" wrapText="1"/>
    </xf>
    <xf borderId="13" fillId="6" fontId="14" numFmtId="0" xfId="0" applyAlignment="1" applyBorder="1" applyFont="1">
      <alignment horizontal="center" shrinkToFit="0" vertical="center" wrapText="1"/>
    </xf>
    <xf borderId="14" fillId="0" fontId="18" numFmtId="0" xfId="0" applyAlignment="1" applyBorder="1" applyFont="1">
      <alignment readingOrder="0" vertical="bottom"/>
    </xf>
    <xf borderId="14" fillId="0" fontId="18" numFmtId="0" xfId="0" applyAlignment="1" applyBorder="1" applyFont="1">
      <alignment horizontal="center" readingOrder="0" vertical="bottom"/>
    </xf>
    <xf borderId="14" fillId="0" fontId="18" numFmtId="0" xfId="0" applyAlignment="1" applyBorder="1" applyFont="1">
      <alignment horizontal="center" readingOrder="0" vertical="bottom"/>
    </xf>
    <xf borderId="14" fillId="0" fontId="19" numFmtId="0" xfId="0" applyAlignment="1" applyBorder="1" applyFont="1">
      <alignment horizontal="left" readingOrder="0" vertical="bottom"/>
    </xf>
    <xf borderId="14" fillId="0" fontId="14" numFmtId="0" xfId="0" applyAlignment="1" applyBorder="1" applyFont="1">
      <alignment horizontal="center" readingOrder="0"/>
    </xf>
    <xf borderId="14" fillId="8" fontId="14" numFmtId="0" xfId="0" applyAlignment="1" applyBorder="1" applyFill="1" applyFont="1">
      <alignment horizontal="center" readingOrder="0" shrinkToFit="0" vertical="center" wrapText="1"/>
    </xf>
    <xf borderId="14" fillId="0" fontId="18" numFmtId="0" xfId="0" applyAlignment="1" applyBorder="1" applyFont="1">
      <alignment horizontal="center"/>
    </xf>
    <xf borderId="14" fillId="0" fontId="14" numFmtId="0" xfId="0" applyAlignment="1" applyBorder="1" applyFont="1">
      <alignment horizontal="center" vertical="center"/>
    </xf>
    <xf borderId="14" fillId="0" fontId="11" numFmtId="0" xfId="0" applyBorder="1" applyFont="1"/>
    <xf borderId="15" fillId="0" fontId="2" numFmtId="0" xfId="0" applyBorder="1" applyFont="1"/>
    <xf borderId="14" fillId="0" fontId="18" numFmtId="0" xfId="0" applyAlignment="1" applyBorder="1" applyFont="1">
      <alignment horizontal="left" readingOrder="0" vertical="bottom"/>
    </xf>
    <xf borderId="14" fillId="0" fontId="11" numFmtId="0" xfId="0" applyAlignment="1" applyBorder="1" applyFont="1">
      <alignment readingOrder="0"/>
    </xf>
    <xf borderId="14" fillId="0" fontId="11" numFmtId="0" xfId="0" applyAlignment="1" applyBorder="1" applyFont="1">
      <alignment horizontal="center" readingOrder="0"/>
    </xf>
    <xf borderId="14" fillId="9" fontId="14" numFmtId="0" xfId="0" applyAlignment="1" applyBorder="1" applyFill="1" applyFont="1">
      <alignment horizontal="center" readingOrder="0" shrinkToFit="0" vertical="center" wrapText="1"/>
    </xf>
    <xf borderId="14" fillId="0" fontId="18" numFmtId="0" xfId="0" applyAlignment="1" applyBorder="1" applyFont="1">
      <alignment horizontal="center" readingOrder="0"/>
    </xf>
    <xf borderId="14" fillId="0" fontId="18" numFmtId="0" xfId="0" applyAlignment="1" applyBorder="1" applyFont="1">
      <alignment horizontal="left" readingOrder="0"/>
    </xf>
    <xf borderId="14" fillId="0" fontId="14" numFmtId="0" xfId="0" applyAlignment="1" applyBorder="1" applyFont="1">
      <alignment horizontal="center"/>
    </xf>
    <xf borderId="14" fillId="0" fontId="18" numFmtId="0" xfId="0" applyBorder="1" applyFont="1"/>
    <xf borderId="14" fillId="0" fontId="18" numFmtId="0" xfId="0" applyAlignment="1" applyBorder="1" applyFont="1">
      <alignment horizontal="center" vertical="center"/>
    </xf>
    <xf borderId="15" fillId="6" fontId="14" numFmtId="0" xfId="0" applyAlignment="1" applyBorder="1" applyFont="1">
      <alignment horizontal="center" readingOrder="0" shrinkToFit="0" vertical="center" wrapText="1"/>
    </xf>
    <xf borderId="14" fillId="0" fontId="18" numFmtId="0" xfId="0" applyAlignment="1" applyBorder="1" applyFont="1">
      <alignment readingOrder="0"/>
    </xf>
    <xf borderId="14" fillId="0" fontId="11" numFmtId="0" xfId="0" applyAlignment="1" applyBorder="1" applyFont="1">
      <alignment horizontal="center"/>
    </xf>
    <xf borderId="14" fillId="9" fontId="14" numFmtId="0" xfId="0" applyAlignment="1" applyBorder="1" applyFont="1">
      <alignment horizontal="center" shrinkToFit="0" vertical="center" wrapText="1"/>
    </xf>
    <xf borderId="14" fillId="0" fontId="18" numFmtId="0" xfId="0" applyAlignment="1" applyBorder="1" applyFont="1">
      <alignment horizontal="center" readingOrder="0"/>
    </xf>
    <xf borderId="0" fillId="0" fontId="18" numFmtId="0" xfId="0" applyFont="1"/>
    <xf borderId="0" fillId="0" fontId="11" numFmtId="0" xfId="0" applyAlignment="1" applyFont="1">
      <alignment horizontal="center"/>
    </xf>
    <xf borderId="0" fillId="0" fontId="11" numFmtId="0" xfId="0" applyAlignment="1" applyFont="1">
      <alignment horizontal="left"/>
    </xf>
    <xf borderId="0" fillId="0" fontId="11" numFmtId="0" xfId="0" applyAlignment="1" applyFont="1">
      <alignment horizontal="center" vertical="center"/>
    </xf>
    <xf borderId="14" fillId="10" fontId="11" numFmtId="0" xfId="0" applyBorder="1" applyFill="1" applyFont="1"/>
    <xf borderId="14" fillId="10" fontId="17" numFmtId="0" xfId="0" applyAlignment="1" applyBorder="1" applyFont="1">
      <alignment horizontal="center" readingOrder="0"/>
    </xf>
    <xf borderId="14" fillId="10" fontId="20" numFmtId="0" xfId="0" applyAlignment="1" applyBorder="1" applyFont="1">
      <alignment horizontal="center" readingOrder="0"/>
    </xf>
    <xf borderId="14" fillId="11" fontId="17" numFmtId="0" xfId="0" applyAlignment="1" applyBorder="1" applyFill="1" applyFont="1">
      <alignment readingOrder="0"/>
    </xf>
    <xf borderId="14" fillId="0" fontId="6" numFmtId="0" xfId="0" applyAlignment="1" applyBorder="1" applyFont="1">
      <alignment horizontal="center" readingOrder="0"/>
    </xf>
    <xf borderId="14" fillId="0" fontId="6" numFmtId="0" xfId="0" applyAlignment="1" applyBorder="1" applyFont="1">
      <alignment horizontal="center" readingOrder="0" vertical="center"/>
    </xf>
    <xf borderId="14" fillId="12" fontId="11" numFmtId="0" xfId="0" applyAlignment="1" applyBorder="1" applyFill="1" applyFont="1">
      <alignment readingOrder="0"/>
    </xf>
    <xf borderId="14" fillId="13" fontId="21" numFmtId="0" xfId="0" applyAlignment="1" applyBorder="1" applyFill="1" applyFont="1">
      <alignment horizontal="left" readingOrder="0"/>
    </xf>
    <xf borderId="14" fillId="0" fontId="11" numFmtId="0" xfId="0" applyAlignment="1" applyBorder="1" applyFont="1">
      <alignment horizontal="center" vertical="center"/>
    </xf>
    <xf borderId="14" fillId="12" fontId="11" numFmtId="0" xfId="0" applyBorder="1" applyFont="1"/>
    <xf borderId="0" fillId="12" fontId="11" numFmtId="0" xfId="0" applyFont="1"/>
    <xf borderId="16" fillId="14" fontId="16" numFmtId="0" xfId="0" applyBorder="1" applyFill="1" applyFont="1"/>
    <xf borderId="4" fillId="14" fontId="16" numFmtId="0" xfId="0" applyBorder="1" applyFont="1"/>
    <xf borderId="17" fillId="12" fontId="18" numFmtId="0" xfId="0" applyBorder="1" applyFont="1"/>
    <xf borderId="18" fillId="15" fontId="18" numFmtId="0" xfId="0" applyBorder="1" applyFill="1" applyFont="1"/>
    <xf borderId="19" fillId="0" fontId="2" numFmtId="0" xfId="0" applyBorder="1" applyFont="1"/>
    <xf borderId="20" fillId="0" fontId="2" numFmtId="0" xfId="0" applyBorder="1" applyFont="1"/>
    <xf borderId="17" fillId="15" fontId="18" numFmtId="0" xfId="0" applyBorder="1" applyFont="1"/>
    <xf borderId="17" fillId="16" fontId="18" numFmtId="0" xfId="0" applyBorder="1" applyFill="1" applyFont="1"/>
    <xf borderId="18" fillId="17" fontId="18" numFmtId="0" xfId="0" applyBorder="1" applyFill="1" applyFont="1"/>
    <xf borderId="18" fillId="17" fontId="22" numFmtId="0" xfId="0" applyAlignment="1" applyBorder="1" applyFont="1">
      <alignment horizontal="left"/>
    </xf>
    <xf borderId="17" fillId="17" fontId="22" numFmtId="0" xfId="0" applyAlignment="1" applyBorder="1" applyFont="1">
      <alignment horizontal="left"/>
    </xf>
    <xf borderId="17" fillId="18" fontId="14" numFmtId="0" xfId="0" applyAlignment="1" applyBorder="1" applyFill="1" applyFont="1">
      <alignment horizontal="center" readingOrder="0"/>
    </xf>
    <xf borderId="18" fillId="19" fontId="18" numFmtId="0" xfId="0" applyBorder="1" applyFill="1" applyFont="1"/>
    <xf borderId="17" fillId="18" fontId="18" numFmtId="0" xfId="0" applyAlignment="1" applyBorder="1" applyFont="1">
      <alignment horizontal="center"/>
    </xf>
    <xf borderId="21" fillId="18" fontId="18" numFmtId="0" xfId="0" applyAlignment="1" applyBorder="1" applyFont="1">
      <alignment horizontal="center"/>
    </xf>
    <xf borderId="1" fillId="19" fontId="18" numFmtId="0" xfId="0" applyBorder="1" applyFont="1"/>
    <xf borderId="21" fillId="8" fontId="18" numFmtId="0" xfId="0" applyAlignment="1" applyBorder="1" applyFont="1">
      <alignment horizontal="center"/>
    </xf>
    <xf borderId="21" fillId="8" fontId="23" numFmtId="0" xfId="0" applyAlignment="1" applyBorder="1" applyFont="1">
      <alignment readingOrder="0"/>
    </xf>
    <xf borderId="21" fillId="8" fontId="18" numFmtId="0" xfId="0" applyBorder="1" applyFont="1"/>
    <xf borderId="21" fillId="8" fontId="18" numFmtId="0" xfId="0" applyAlignment="1" applyBorder="1" applyFont="1">
      <alignment horizontal="center" vertical="center"/>
    </xf>
    <xf borderId="13" fillId="20" fontId="24" numFmtId="49" xfId="0" applyAlignment="1" applyBorder="1" applyFill="1" applyFont="1" applyNumberFormat="1">
      <alignment horizontal="center" shrinkToFit="0" vertical="center" wrapText="1"/>
    </xf>
    <xf borderId="0" fillId="0" fontId="18" numFmtId="0" xfId="0" applyAlignment="1" applyFont="1">
      <alignment horizontal="center" shrinkToFit="0" vertical="center" wrapText="1"/>
    </xf>
    <xf borderId="22" fillId="21" fontId="24" numFmtId="49" xfId="0" applyAlignment="1" applyBorder="1" applyFill="1" applyFont="1" applyNumberFormat="1">
      <alignment horizontal="center" readingOrder="0" shrinkToFit="0" vertical="center" wrapText="1"/>
    </xf>
    <xf borderId="23" fillId="8" fontId="25" numFmtId="49" xfId="0" applyAlignment="1" applyBorder="1" applyFont="1" applyNumberFormat="1">
      <alignment horizontal="left" shrinkToFit="0" vertical="center" wrapText="1"/>
    </xf>
    <xf borderId="24" fillId="0" fontId="22" numFmtId="49" xfId="0" applyAlignment="1" applyBorder="1" applyFont="1" applyNumberFormat="1">
      <alignment horizontal="left" vertical="center"/>
    </xf>
    <xf borderId="24" fillId="22" fontId="22" numFmtId="49" xfId="0" applyAlignment="1" applyBorder="1" applyFill="1" applyFont="1" applyNumberFormat="1">
      <alignment horizontal="center" readingOrder="0" vertical="center"/>
    </xf>
    <xf borderId="24" fillId="0" fontId="26" numFmtId="0" xfId="0" applyAlignment="1" applyBorder="1" applyFont="1">
      <alignment horizontal="center" vertical="center"/>
    </xf>
    <xf borderId="24" fillId="0" fontId="27" numFmtId="164" xfId="0" applyAlignment="1" applyBorder="1" applyFont="1" applyNumberFormat="1">
      <alignment horizontal="center" readingOrder="0" vertical="center"/>
    </xf>
    <xf borderId="24" fillId="0" fontId="28" numFmtId="164" xfId="0" applyAlignment="1" applyBorder="1" applyFont="1" applyNumberFormat="1">
      <alignment horizontal="center" readingOrder="0" vertical="center"/>
    </xf>
    <xf borderId="25" fillId="0" fontId="29" numFmtId="9" xfId="0" applyAlignment="1" applyBorder="1" applyFont="1" applyNumberFormat="1">
      <alignment horizontal="center" readingOrder="0" vertical="center"/>
    </xf>
    <xf borderId="26" fillId="21" fontId="18" numFmtId="49" xfId="0" applyAlignment="1" applyBorder="1" applyFont="1" applyNumberFormat="1">
      <alignment horizontal="center" readingOrder="0" shrinkToFit="0" vertical="center" wrapText="1"/>
    </xf>
    <xf borderId="12" fillId="0" fontId="2" numFmtId="0" xfId="0" applyBorder="1" applyFont="1"/>
    <xf borderId="14" fillId="0" fontId="22" numFmtId="49" xfId="0" applyAlignment="1" applyBorder="1" applyFont="1" applyNumberFormat="1">
      <alignment horizontal="left" vertical="center"/>
    </xf>
    <xf borderId="14" fillId="22" fontId="22" numFmtId="49" xfId="0" applyAlignment="1" applyBorder="1" applyFont="1" applyNumberFormat="1">
      <alignment horizontal="center" readingOrder="0" vertical="center"/>
    </xf>
    <xf borderId="14" fillId="0" fontId="26" numFmtId="0" xfId="0" applyAlignment="1" applyBorder="1" applyFont="1">
      <alignment horizontal="center" vertical="center"/>
    </xf>
    <xf borderId="14" fillId="0" fontId="28" numFmtId="164" xfId="0" applyAlignment="1" applyBorder="1" applyFont="1" applyNumberFormat="1">
      <alignment horizontal="center" vertical="center"/>
    </xf>
    <xf borderId="27" fillId="0" fontId="29" numFmtId="9" xfId="0" applyAlignment="1" applyBorder="1" applyFont="1" applyNumberFormat="1">
      <alignment horizontal="center" readingOrder="0" vertical="center"/>
    </xf>
    <xf borderId="13" fillId="8" fontId="25" numFmtId="49" xfId="0" applyAlignment="1" applyBorder="1" applyFont="1" applyNumberFormat="1">
      <alignment horizontal="left" shrinkToFit="0" vertical="center" wrapText="1"/>
    </xf>
    <xf borderId="28" fillId="21" fontId="24" numFmtId="49" xfId="0" applyAlignment="1" applyBorder="1" applyFont="1" applyNumberFormat="1">
      <alignment horizontal="center" readingOrder="0" shrinkToFit="0" vertical="center" wrapText="1"/>
    </xf>
    <xf borderId="29" fillId="0" fontId="2" numFmtId="0" xfId="0" applyBorder="1" applyFont="1"/>
    <xf borderId="13" fillId="0" fontId="22" numFmtId="49" xfId="0" applyAlignment="1" applyBorder="1" applyFont="1" applyNumberFormat="1">
      <alignment horizontal="left" shrinkToFit="0" vertical="center" wrapText="1"/>
    </xf>
    <xf borderId="13" fillId="22" fontId="22" numFmtId="49" xfId="0" applyAlignment="1" applyBorder="1" applyFont="1" applyNumberFormat="1">
      <alignment horizontal="center" readingOrder="0" vertical="center"/>
    </xf>
    <xf borderId="13" fillId="0" fontId="26" numFmtId="0" xfId="0" applyAlignment="1" applyBorder="1" applyFont="1">
      <alignment horizontal="center" vertical="center"/>
    </xf>
    <xf borderId="13" fillId="0" fontId="28" numFmtId="164" xfId="0" applyAlignment="1" applyBorder="1" applyFont="1" applyNumberFormat="1">
      <alignment horizontal="center" vertical="center"/>
    </xf>
    <xf borderId="30" fillId="0" fontId="29" numFmtId="9" xfId="0" applyAlignment="1" applyBorder="1" applyFont="1" applyNumberFormat="1">
      <alignment horizontal="center" readingOrder="0" vertical="center"/>
    </xf>
    <xf borderId="31" fillId="21" fontId="24" numFmtId="49" xfId="0" applyAlignment="1" applyBorder="1" applyFont="1" applyNumberFormat="1">
      <alignment horizontal="center" readingOrder="0" shrinkToFit="0" vertical="center" wrapText="1"/>
    </xf>
    <xf borderId="32" fillId="8" fontId="25" numFmtId="49" xfId="0" applyAlignment="1" applyBorder="1" applyFont="1" applyNumberFormat="1">
      <alignment horizontal="left" shrinkToFit="0" vertical="center" wrapText="1"/>
    </xf>
    <xf borderId="33" fillId="0" fontId="22" numFmtId="49" xfId="0" applyAlignment="1" applyBorder="1" applyFont="1" applyNumberFormat="1">
      <alignment horizontal="left" vertical="center"/>
    </xf>
    <xf borderId="33" fillId="22" fontId="22" numFmtId="49" xfId="0" applyAlignment="1" applyBorder="1" applyFont="1" applyNumberFormat="1">
      <alignment horizontal="center" vertical="center"/>
    </xf>
    <xf borderId="33" fillId="0" fontId="27" numFmtId="0" xfId="0" applyAlignment="1" applyBorder="1" applyFont="1">
      <alignment horizontal="center" vertical="center"/>
    </xf>
    <xf borderId="33" fillId="0" fontId="28" numFmtId="164" xfId="0" applyAlignment="1" applyBorder="1" applyFont="1" applyNumberFormat="1">
      <alignment horizontal="center" vertical="center"/>
    </xf>
    <xf borderId="34" fillId="0" fontId="29" numFmtId="9" xfId="0" applyAlignment="1" applyBorder="1" applyFont="1" applyNumberFormat="1">
      <alignment horizontal="center" readingOrder="0" vertical="center"/>
    </xf>
    <xf borderId="35" fillId="21" fontId="18" numFmtId="49" xfId="0" applyAlignment="1" applyBorder="1" applyFont="1" applyNumberFormat="1">
      <alignment horizontal="center" readingOrder="0" shrinkToFit="0" vertical="center" wrapText="1"/>
    </xf>
    <xf borderId="14" fillId="0" fontId="27" numFmtId="0" xfId="0" applyAlignment="1" applyBorder="1" applyFont="1">
      <alignment horizontal="center" vertical="center"/>
    </xf>
    <xf borderId="36" fillId="0" fontId="29" numFmtId="9" xfId="0" applyAlignment="1" applyBorder="1" applyFont="1" applyNumberFormat="1">
      <alignment horizontal="center" readingOrder="0" vertical="center"/>
    </xf>
    <xf borderId="14" fillId="22" fontId="22" numFmtId="49" xfId="0" applyAlignment="1" applyBorder="1" applyFont="1" applyNumberFormat="1">
      <alignment horizontal="center" vertical="center"/>
    </xf>
    <xf borderId="37" fillId="21" fontId="24" numFmtId="49" xfId="0" applyAlignment="1" applyBorder="1" applyFont="1" applyNumberFormat="1">
      <alignment horizontal="center" readingOrder="0" shrinkToFit="0" vertical="center" wrapText="1"/>
    </xf>
    <xf borderId="38" fillId="0" fontId="2" numFmtId="0" xfId="0" applyBorder="1" applyFont="1"/>
    <xf borderId="39" fillId="0" fontId="22" numFmtId="49" xfId="0" applyAlignment="1" applyBorder="1" applyFont="1" applyNumberFormat="1">
      <alignment horizontal="left" vertical="center"/>
    </xf>
    <xf borderId="39" fillId="22" fontId="22" numFmtId="49" xfId="0" applyAlignment="1" applyBorder="1" applyFont="1" applyNumberFormat="1">
      <alignment horizontal="center" vertical="center"/>
    </xf>
    <xf borderId="39" fillId="0" fontId="26" numFmtId="0" xfId="0" applyAlignment="1" applyBorder="1" applyFont="1">
      <alignment horizontal="center" vertical="center"/>
    </xf>
    <xf borderId="39" fillId="0" fontId="28" numFmtId="164" xfId="0" applyAlignment="1" applyBorder="1" applyFont="1" applyNumberFormat="1">
      <alignment horizontal="center" vertical="center"/>
    </xf>
    <xf borderId="40" fillId="0" fontId="29" numFmtId="9" xfId="0" applyAlignment="1" applyBorder="1" applyFont="1" applyNumberFormat="1">
      <alignment horizontal="center" readingOrder="0" vertical="center"/>
    </xf>
    <xf borderId="31" fillId="21" fontId="24" numFmtId="0" xfId="0" applyAlignment="1" applyBorder="1" applyFont="1">
      <alignment horizontal="center" readingOrder="0" vertical="center"/>
    </xf>
    <xf borderId="32" fillId="0" fontId="30" numFmtId="0" xfId="0" applyAlignment="1" applyBorder="1" applyFont="1">
      <alignment horizontal="left" shrinkToFit="0" vertical="center" wrapText="1"/>
    </xf>
    <xf borderId="33" fillId="0" fontId="18" numFmtId="0" xfId="0" applyBorder="1" applyFont="1"/>
    <xf borderId="33" fillId="19" fontId="18" numFmtId="0" xfId="0" applyAlignment="1" applyBorder="1" applyFont="1">
      <alignment horizontal="center" vertical="center"/>
    </xf>
    <xf borderId="33" fillId="0" fontId="31" numFmtId="0" xfId="0" applyAlignment="1" applyBorder="1" applyFont="1">
      <alignment horizontal="center" vertical="center"/>
    </xf>
    <xf borderId="35" fillId="21" fontId="18" numFmtId="0" xfId="0" applyAlignment="1" applyBorder="1" applyFont="1">
      <alignment horizontal="center" readingOrder="0" vertical="center"/>
    </xf>
    <xf borderId="14" fillId="19" fontId="18" numFmtId="0" xfId="0" applyAlignment="1" applyBorder="1" applyFont="1">
      <alignment horizontal="center" vertical="center"/>
    </xf>
    <xf borderId="14" fillId="0" fontId="31" numFmtId="0" xfId="0" applyAlignment="1" applyBorder="1" applyFont="1">
      <alignment horizontal="center" vertical="center"/>
    </xf>
    <xf borderId="35" fillId="21" fontId="18" numFmtId="165" xfId="0" applyAlignment="1" applyBorder="1" applyFont="1" applyNumberFormat="1">
      <alignment horizontal="center" readingOrder="0" vertical="center"/>
    </xf>
    <xf borderId="13" fillId="0" fontId="30" numFmtId="0" xfId="0" applyAlignment="1" applyBorder="1" applyFont="1">
      <alignment vertical="center"/>
    </xf>
    <xf borderId="37" fillId="21" fontId="24" numFmtId="0" xfId="0" applyAlignment="1" applyBorder="1" applyFont="1">
      <alignment horizontal="center" readingOrder="0" vertical="center"/>
    </xf>
    <xf borderId="39" fillId="0" fontId="18" numFmtId="0" xfId="0" applyBorder="1" applyFont="1"/>
    <xf borderId="39" fillId="19" fontId="18" numFmtId="0" xfId="0" applyAlignment="1" applyBorder="1" applyFont="1">
      <alignment horizontal="center" vertical="center"/>
    </xf>
    <xf borderId="39" fillId="0" fontId="31" numFmtId="0" xfId="0" applyAlignment="1" applyBorder="1" applyFont="1">
      <alignment horizontal="center" vertical="center"/>
    </xf>
    <xf borderId="32" fillId="0" fontId="11" numFmtId="0" xfId="0" applyBorder="1" applyFont="1"/>
    <xf borderId="33" fillId="0" fontId="11" numFmtId="0" xfId="0" applyBorder="1" applyFont="1"/>
    <xf borderId="13" fillId="0" fontId="11" numFmtId="0" xfId="0" applyAlignment="1" applyBorder="1" applyFont="1">
      <alignment horizontal="center" readingOrder="0" vertical="center"/>
    </xf>
    <xf borderId="39" fillId="0" fontId="11" numFmtId="0" xfId="0" applyBorder="1" applyFont="1"/>
    <xf borderId="0" fillId="0" fontId="6" numFmtId="0" xfId="0" applyAlignment="1" applyFont="1">
      <alignment readingOrder="0"/>
    </xf>
    <xf borderId="14" fillId="0" fontId="6" numFmtId="0" xfId="0" applyAlignment="1" applyBorder="1" applyFont="1">
      <alignment readingOrder="0"/>
    </xf>
    <xf borderId="0" fillId="0" fontId="6" numFmtId="0" xfId="0" applyFont="1"/>
    <xf borderId="14" fillId="0" fontId="6" numFmtId="0" xfId="0" applyBorder="1" applyFont="1"/>
    <xf borderId="14" fillId="8" fontId="14" numFmtId="0" xfId="0" applyAlignment="1" applyBorder="1" applyFont="1">
      <alignment horizontal="center"/>
    </xf>
    <xf borderId="14" fillId="0" fontId="6" numFmtId="0" xfId="0" applyAlignment="1" applyBorder="1" applyFont="1">
      <alignment horizontal="center" vertical="center"/>
    </xf>
    <xf borderId="0" fillId="0" fontId="6" numFmtId="0" xfId="0" applyAlignment="1" applyFont="1">
      <alignment horizontal="center" readingOrder="0"/>
    </xf>
    <xf borderId="14" fillId="8" fontId="18" numFmtId="0" xfId="0" applyAlignment="1" applyBorder="1" applyFont="1">
      <alignment horizontal="center"/>
    </xf>
    <xf borderId="0" fillId="0" fontId="32" numFmtId="0" xfId="0" applyAlignment="1" applyFont="1">
      <alignment readingOrder="0"/>
    </xf>
    <xf borderId="0" fillId="23" fontId="17" numFmtId="0" xfId="0" applyAlignment="1" applyFill="1" applyFont="1">
      <alignment horizontal="center" readingOrder="0" vertical="center"/>
    </xf>
    <xf borderId="0" fillId="23" fontId="20" numFmtId="0" xfId="0" applyAlignment="1" applyFont="1">
      <alignment horizontal="center" vertical="center"/>
    </xf>
    <xf borderId="14" fillId="0" fontId="33" numFmtId="0" xfId="0" applyAlignment="1" applyBorder="1" applyFont="1">
      <alignment horizontal="center" readingOrder="0"/>
    </xf>
    <xf borderId="14" fillId="0" fontId="11" numFmtId="166" xfId="0" applyAlignment="1" applyBorder="1" applyFont="1" applyNumberFormat="1">
      <alignment horizontal="center" readingOrder="0"/>
    </xf>
  </cellXfs>
  <cellStyles count="1">
    <cellStyle xfId="0" name="Normal" builtinId="0"/>
  </cellStyles>
  <dxfs count="9">
    <dxf>
      <font/>
      <fill>
        <patternFill patternType="solid">
          <fgColor rgb="FFA8D08D"/>
          <bgColor rgb="FFA8D08D"/>
        </patternFill>
      </fill>
      <border/>
    </dxf>
    <dxf>
      <font/>
      <fill>
        <patternFill patternType="solid">
          <fgColor rgb="FF00B050"/>
          <bgColor rgb="FF00B050"/>
        </patternFill>
      </fill>
      <border/>
    </dxf>
    <dxf>
      <font/>
      <fill>
        <patternFill patternType="solid">
          <fgColor rgb="FF9CC2E5"/>
          <bgColor rgb="FF9CC2E5"/>
        </patternFill>
      </fill>
      <border/>
    </dxf>
    <dxf>
      <font/>
      <fill>
        <patternFill patternType="solid">
          <fgColor rgb="FFFFD965"/>
          <bgColor rgb="FFFFD965"/>
        </patternFill>
      </fill>
      <border/>
    </dxf>
    <dxf>
      <font/>
      <fill>
        <patternFill patternType="solid">
          <fgColor rgb="FFFFE599"/>
          <bgColor rgb="FFFFE599"/>
        </patternFill>
      </fill>
      <border/>
    </dxf>
    <dxf>
      <font/>
      <fill>
        <patternFill patternType="solid">
          <fgColor rgb="FFE06666"/>
          <bgColor rgb="FFE06666"/>
        </patternFill>
      </fill>
      <border/>
    </dxf>
    <dxf>
      <font/>
      <fill>
        <patternFill patternType="solid">
          <fgColor rgb="FFFFD966"/>
          <bgColor rgb="FFFFD966"/>
        </patternFill>
      </fill>
      <border/>
    </dxf>
    <dxf>
      <font/>
      <fill>
        <patternFill patternType="solid">
          <fgColor rgb="FFFFFF00"/>
          <bgColor rgb="FFFFFF00"/>
        </patternFill>
      </fill>
      <border/>
    </dxf>
    <dxf>
      <font/>
      <fill>
        <patternFill patternType="solid">
          <fgColor rgb="FF93C47D"/>
          <bgColor rgb="FF93C47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57"/>
    <col customWidth="1" min="2" max="2" width="26.29"/>
    <col customWidth="1" min="3" max="3" width="27.71"/>
    <col customWidth="1" min="4" max="4" width="15.0"/>
    <col customWidth="1" min="5" max="5" width="23.29"/>
    <col customWidth="1" min="6" max="6" width="32.14"/>
    <col customWidth="1" min="7" max="7" width="23.43"/>
    <col customWidth="1" min="8" max="8" width="17.71"/>
    <col customWidth="1" min="9" max="9" width="17.14"/>
    <col customWidth="1" min="10" max="10" width="19.43"/>
    <col customWidth="1" min="11" max="11" width="25.14"/>
  </cols>
  <sheetData>
    <row r="1" ht="15.0" customHeight="1">
      <c r="A1" s="1" t="s">
        <v>0</v>
      </c>
      <c r="B1" s="2"/>
      <c r="C1" s="2"/>
      <c r="D1" s="2"/>
      <c r="E1" s="2"/>
      <c r="F1" s="2"/>
      <c r="G1" s="2"/>
      <c r="H1" s="2"/>
      <c r="I1" s="2"/>
      <c r="J1" s="2"/>
      <c r="K1" s="3"/>
    </row>
    <row r="2" ht="15.0" customHeight="1">
      <c r="A2" s="4"/>
      <c r="B2" s="5"/>
      <c r="C2" s="5"/>
      <c r="D2" s="5"/>
      <c r="E2" s="5"/>
      <c r="F2" s="5"/>
      <c r="G2" s="5"/>
      <c r="H2" s="5"/>
      <c r="I2" s="5"/>
      <c r="J2" s="5"/>
      <c r="K2" s="6"/>
    </row>
    <row r="3" ht="30.0" customHeight="1">
      <c r="A3" s="7" t="s">
        <v>1</v>
      </c>
      <c r="B3" s="8" t="s">
        <v>2</v>
      </c>
      <c r="C3" s="7" t="s">
        <v>3</v>
      </c>
      <c r="D3" s="8" t="s">
        <v>4</v>
      </c>
      <c r="E3" s="9" t="s">
        <v>5</v>
      </c>
      <c r="F3" s="10">
        <f>AVERAGE(J48:J63)</f>
        <v>0</v>
      </c>
      <c r="G3" s="9" t="s">
        <v>6</v>
      </c>
      <c r="H3" s="11" t="s">
        <v>7</v>
      </c>
      <c r="I3" s="9" t="s">
        <v>8</v>
      </c>
      <c r="J3" s="12" t="s">
        <v>9</v>
      </c>
      <c r="K3" s="13"/>
    </row>
    <row r="4" ht="40.5" customHeight="1">
      <c r="A4" s="7" t="s">
        <v>10</v>
      </c>
      <c r="B4" s="14" t="s">
        <v>11</v>
      </c>
      <c r="C4" s="9" t="s">
        <v>12</v>
      </c>
      <c r="D4" s="8" t="s">
        <v>13</v>
      </c>
      <c r="E4" s="9" t="s">
        <v>14</v>
      </c>
      <c r="F4" s="15" t="s">
        <v>15</v>
      </c>
      <c r="G4" s="9" t="s">
        <v>16</v>
      </c>
      <c r="H4" s="16" t="s">
        <v>17</v>
      </c>
      <c r="I4" s="17" t="s">
        <v>18</v>
      </c>
      <c r="J4" s="18" t="s">
        <v>19</v>
      </c>
      <c r="K4" s="19"/>
    </row>
    <row r="5" ht="44.25" customHeight="1">
      <c r="A5" s="20" t="s">
        <v>20</v>
      </c>
      <c r="B5" s="21" t="s">
        <v>21</v>
      </c>
      <c r="C5" s="22"/>
      <c r="D5" s="22"/>
      <c r="E5" s="22"/>
      <c r="F5" s="23"/>
      <c r="G5" s="9" t="s">
        <v>22</v>
      </c>
      <c r="H5" s="20"/>
      <c r="I5" s="24"/>
      <c r="J5" s="25" t="s">
        <v>23</v>
      </c>
      <c r="K5" s="26">
        <f>counta(A82:A93)</f>
        <v>10</v>
      </c>
    </row>
    <row r="6">
      <c r="A6" s="27"/>
      <c r="B6" s="28" t="s">
        <v>24</v>
      </c>
      <c r="C6" s="28" t="s">
        <v>25</v>
      </c>
      <c r="D6" s="29" t="s">
        <v>3</v>
      </c>
      <c r="E6" s="29" t="s">
        <v>26</v>
      </c>
      <c r="F6" s="29" t="s">
        <v>27</v>
      </c>
      <c r="G6" s="30" t="s">
        <v>28</v>
      </c>
      <c r="H6" s="31" t="s">
        <v>29</v>
      </c>
      <c r="I6" s="32" t="s">
        <v>30</v>
      </c>
      <c r="J6" s="32" t="s">
        <v>31</v>
      </c>
      <c r="K6" s="33" t="s">
        <v>32</v>
      </c>
    </row>
    <row r="7">
      <c r="A7" s="34" t="s">
        <v>33</v>
      </c>
      <c r="B7" s="35" t="s">
        <v>34</v>
      </c>
      <c r="C7" s="36" t="s">
        <v>35</v>
      </c>
      <c r="D7" s="36" t="s">
        <v>36</v>
      </c>
      <c r="E7" s="37">
        <v>8.56103671E9</v>
      </c>
      <c r="F7" s="38" t="s">
        <v>37</v>
      </c>
      <c r="G7" s="39"/>
      <c r="H7" s="40"/>
      <c r="I7" s="41"/>
      <c r="J7" s="42"/>
      <c r="K7" s="43"/>
    </row>
    <row r="8">
      <c r="A8" s="44"/>
      <c r="B8" s="35" t="s">
        <v>38</v>
      </c>
      <c r="C8" s="36" t="s">
        <v>39</v>
      </c>
      <c r="D8" s="36" t="s">
        <v>36</v>
      </c>
      <c r="E8" s="37">
        <v>7.296851903E9</v>
      </c>
      <c r="F8" s="45" t="s">
        <v>40</v>
      </c>
      <c r="G8" s="39"/>
      <c r="H8" s="40"/>
      <c r="I8" s="41"/>
      <c r="J8" s="42"/>
      <c r="K8" s="43"/>
    </row>
    <row r="9">
      <c r="A9" s="44"/>
      <c r="B9" s="35" t="s">
        <v>41</v>
      </c>
      <c r="C9" s="36" t="s">
        <v>42</v>
      </c>
      <c r="D9" s="36" t="s">
        <v>36</v>
      </c>
      <c r="E9" s="37">
        <v>8.010996988E9</v>
      </c>
      <c r="F9" s="45" t="s">
        <v>43</v>
      </c>
      <c r="G9" s="39"/>
      <c r="H9" s="40"/>
      <c r="I9" s="41"/>
      <c r="J9" s="42"/>
      <c r="K9" s="43"/>
    </row>
    <row r="10">
      <c r="A10" s="44"/>
      <c r="B10" s="46" t="s">
        <v>44</v>
      </c>
      <c r="C10" s="47" t="s">
        <v>45</v>
      </c>
      <c r="D10" s="48" t="s">
        <v>36</v>
      </c>
      <c r="E10" s="49">
        <v>6.371172476E9</v>
      </c>
      <c r="F10" s="50" t="s">
        <v>46</v>
      </c>
      <c r="G10" s="51"/>
      <c r="H10" s="40"/>
      <c r="I10" s="52"/>
      <c r="J10" s="53"/>
      <c r="K10" s="43"/>
    </row>
    <row r="11">
      <c r="A11" s="54" t="s">
        <v>47</v>
      </c>
      <c r="B11" s="55" t="s">
        <v>48</v>
      </c>
      <c r="C11" s="56"/>
      <c r="D11" s="57"/>
      <c r="E11" s="58"/>
      <c r="F11" s="50"/>
      <c r="G11" s="39"/>
      <c r="H11" s="40"/>
      <c r="I11" s="52"/>
      <c r="J11" s="53"/>
      <c r="K11" s="43"/>
    </row>
    <row r="12">
      <c r="A12" s="54" t="s">
        <v>49</v>
      </c>
      <c r="B12" s="55"/>
      <c r="C12" s="56"/>
      <c r="D12" s="57"/>
      <c r="E12" s="58"/>
      <c r="F12" s="50"/>
      <c r="G12" s="39"/>
      <c r="H12" s="40"/>
      <c r="I12" s="52"/>
      <c r="J12" s="53"/>
      <c r="K12" s="43"/>
    </row>
    <row r="13">
      <c r="B13" s="59"/>
      <c r="D13" s="60"/>
      <c r="F13" s="61"/>
      <c r="J13" s="62"/>
    </row>
    <row r="14">
      <c r="A14" s="63"/>
      <c r="B14" s="64" t="s">
        <v>50</v>
      </c>
      <c r="C14" s="64" t="s">
        <v>51</v>
      </c>
      <c r="D14" s="64" t="s">
        <v>52</v>
      </c>
      <c r="E14" s="65"/>
      <c r="F14" s="66" t="s">
        <v>53</v>
      </c>
      <c r="G14" s="67">
        <v>1.0</v>
      </c>
      <c r="H14" s="67">
        <v>2.0</v>
      </c>
      <c r="I14" s="67">
        <v>3.0</v>
      </c>
      <c r="J14" s="68">
        <v>4.0</v>
      </c>
      <c r="K14" s="67">
        <v>5.0</v>
      </c>
    </row>
    <row r="15">
      <c r="A15" s="69" t="s">
        <v>54</v>
      </c>
      <c r="B15" s="55" t="s">
        <v>55</v>
      </c>
      <c r="C15" s="46" t="s">
        <v>56</v>
      </c>
      <c r="D15" s="56"/>
      <c r="E15" s="43"/>
      <c r="F15" s="70" t="s">
        <v>57</v>
      </c>
      <c r="G15" s="43"/>
      <c r="H15" s="43"/>
      <c r="I15" s="43"/>
      <c r="J15" s="71"/>
      <c r="K15" s="43"/>
    </row>
    <row r="16">
      <c r="A16" s="69" t="s">
        <v>58</v>
      </c>
      <c r="B16" s="55" t="s">
        <v>59</v>
      </c>
      <c r="C16" s="43"/>
      <c r="D16" s="56"/>
      <c r="E16" s="43"/>
      <c r="F16" s="70" t="s">
        <v>60</v>
      </c>
      <c r="G16" s="43"/>
      <c r="H16" s="43"/>
      <c r="I16" s="43"/>
      <c r="J16" s="71"/>
      <c r="K16" s="43"/>
    </row>
    <row r="17">
      <c r="A17" s="69" t="s">
        <v>61</v>
      </c>
      <c r="B17" s="52"/>
      <c r="C17" s="43"/>
      <c r="D17" s="56"/>
      <c r="E17" s="43"/>
      <c r="F17" s="70" t="s">
        <v>62</v>
      </c>
      <c r="G17" s="43"/>
      <c r="H17" s="43"/>
      <c r="I17" s="43"/>
      <c r="J17" s="71"/>
      <c r="K17" s="43"/>
    </row>
    <row r="18">
      <c r="A18" s="72"/>
      <c r="B18" s="52"/>
      <c r="C18" s="43"/>
      <c r="D18" s="56"/>
      <c r="E18" s="43"/>
      <c r="F18" s="70" t="s">
        <v>63</v>
      </c>
      <c r="G18" s="43"/>
      <c r="H18" s="43"/>
      <c r="I18" s="43"/>
      <c r="J18" s="71"/>
      <c r="K18" s="43"/>
    </row>
    <row r="19">
      <c r="A19" s="72"/>
      <c r="B19" s="52"/>
      <c r="C19" s="43"/>
      <c r="D19" s="56"/>
      <c r="E19" s="43"/>
      <c r="F19" s="70" t="s">
        <v>64</v>
      </c>
      <c r="G19" s="43"/>
      <c r="H19" s="43"/>
      <c r="I19" s="43"/>
      <c r="J19" s="71"/>
      <c r="K19" s="43"/>
    </row>
    <row r="20">
      <c r="A20" s="73"/>
      <c r="B20" s="59"/>
      <c r="D20" s="60"/>
      <c r="F20" s="70" t="s">
        <v>65</v>
      </c>
      <c r="G20" s="43"/>
      <c r="H20" s="43"/>
      <c r="I20" s="43"/>
      <c r="J20" s="71"/>
      <c r="K20" s="43"/>
    </row>
    <row r="21">
      <c r="A21" s="74" t="s">
        <v>66</v>
      </c>
      <c r="B21" s="75" t="s">
        <v>67</v>
      </c>
      <c r="C21" s="5"/>
      <c r="D21" s="5"/>
      <c r="E21" s="5"/>
      <c r="F21" s="5"/>
      <c r="G21" s="5"/>
      <c r="H21" s="5"/>
      <c r="I21" s="5"/>
      <c r="J21" s="5"/>
      <c r="K21" s="6"/>
    </row>
    <row r="22">
      <c r="A22" s="76" t="s">
        <v>68</v>
      </c>
      <c r="B22" s="77" t="s">
        <v>69</v>
      </c>
      <c r="C22" s="78"/>
      <c r="D22" s="78"/>
      <c r="E22" s="78"/>
      <c r="F22" s="78"/>
      <c r="G22" s="78"/>
      <c r="H22" s="78"/>
      <c r="I22" s="78"/>
      <c r="J22" s="78"/>
      <c r="K22" s="79"/>
    </row>
    <row r="23">
      <c r="A23" s="76" t="s">
        <v>70</v>
      </c>
      <c r="B23" s="77" t="s">
        <v>71</v>
      </c>
      <c r="C23" s="78"/>
      <c r="D23" s="78"/>
      <c r="E23" s="78"/>
      <c r="F23" s="78"/>
      <c r="G23" s="78"/>
      <c r="H23" s="78"/>
      <c r="I23" s="78"/>
      <c r="J23" s="78"/>
      <c r="K23" s="79"/>
    </row>
    <row r="24">
      <c r="A24" s="76" t="s">
        <v>72</v>
      </c>
      <c r="B24" s="77" t="s">
        <v>73</v>
      </c>
      <c r="C24" s="78"/>
      <c r="D24" s="78"/>
      <c r="E24" s="78"/>
      <c r="F24" s="78"/>
      <c r="G24" s="78"/>
      <c r="H24" s="78"/>
      <c r="I24" s="78"/>
      <c r="J24" s="78"/>
      <c r="K24" s="79"/>
    </row>
    <row r="25">
      <c r="A25" s="76"/>
      <c r="B25" s="80"/>
      <c r="C25" s="80"/>
      <c r="D25" s="80"/>
      <c r="E25" s="80"/>
      <c r="F25" s="80"/>
      <c r="G25" s="80"/>
      <c r="H25" s="80"/>
      <c r="I25" s="80"/>
      <c r="J25" s="80"/>
      <c r="K25" s="80"/>
    </row>
    <row r="26">
      <c r="A26" s="76"/>
      <c r="B26" s="80"/>
      <c r="C26" s="80"/>
      <c r="D26" s="80"/>
      <c r="E26" s="80"/>
      <c r="F26" s="80"/>
      <c r="G26" s="80"/>
      <c r="H26" s="80"/>
      <c r="I26" s="80"/>
      <c r="J26" s="80"/>
      <c r="K26" s="80"/>
    </row>
    <row r="27">
      <c r="A27" s="81" t="s">
        <v>74</v>
      </c>
      <c r="B27" s="82" t="s">
        <v>75</v>
      </c>
      <c r="C27" s="78"/>
      <c r="D27" s="78"/>
      <c r="E27" s="78"/>
      <c r="F27" s="78"/>
      <c r="G27" s="78"/>
      <c r="H27" s="78"/>
      <c r="I27" s="78"/>
      <c r="J27" s="78"/>
      <c r="K27" s="79"/>
    </row>
    <row r="28">
      <c r="A28" s="81" t="s">
        <v>76</v>
      </c>
      <c r="B28" s="82" t="s">
        <v>77</v>
      </c>
      <c r="C28" s="78"/>
      <c r="D28" s="78"/>
      <c r="E28" s="78"/>
      <c r="F28" s="78"/>
      <c r="G28" s="78"/>
      <c r="H28" s="78"/>
      <c r="I28" s="78"/>
      <c r="J28" s="78"/>
      <c r="K28" s="79"/>
    </row>
    <row r="29" ht="15.75" customHeight="1">
      <c r="A29" s="81" t="s">
        <v>78</v>
      </c>
      <c r="B29" s="83" t="s">
        <v>79</v>
      </c>
      <c r="C29" s="78"/>
      <c r="D29" s="78"/>
      <c r="E29" s="78"/>
      <c r="F29" s="78"/>
      <c r="G29" s="78"/>
      <c r="H29" s="78"/>
      <c r="I29" s="78"/>
      <c r="J29" s="78"/>
      <c r="K29" s="79"/>
    </row>
    <row r="30" ht="15.75" customHeight="1">
      <c r="A30" s="81" t="s">
        <v>80</v>
      </c>
      <c r="B30" s="83" t="s">
        <v>81</v>
      </c>
      <c r="C30" s="78"/>
      <c r="D30" s="78"/>
      <c r="E30" s="78"/>
      <c r="F30" s="78"/>
      <c r="G30" s="78"/>
      <c r="H30" s="78"/>
      <c r="I30" s="78"/>
      <c r="J30" s="78"/>
      <c r="K30" s="79"/>
    </row>
    <row r="31" ht="15.75" customHeight="1">
      <c r="A31" s="81" t="s">
        <v>82</v>
      </c>
      <c r="B31" s="83" t="s">
        <v>83</v>
      </c>
      <c r="C31" s="78"/>
      <c r="D31" s="78"/>
      <c r="E31" s="78"/>
      <c r="F31" s="78"/>
      <c r="G31" s="78"/>
      <c r="H31" s="78"/>
      <c r="I31" s="78"/>
      <c r="J31" s="78"/>
      <c r="K31" s="79"/>
    </row>
    <row r="32" ht="15.75" customHeight="1">
      <c r="A32" s="81" t="s">
        <v>84</v>
      </c>
      <c r="B32" s="83" t="s">
        <v>85</v>
      </c>
      <c r="C32" s="78"/>
      <c r="D32" s="78"/>
      <c r="E32" s="78"/>
      <c r="F32" s="78"/>
      <c r="G32" s="78"/>
      <c r="H32" s="78"/>
      <c r="I32" s="78"/>
      <c r="J32" s="78"/>
      <c r="K32" s="79"/>
    </row>
    <row r="33" ht="15.75" customHeight="1">
      <c r="A33" s="81" t="s">
        <v>86</v>
      </c>
      <c r="B33" s="83" t="s">
        <v>87</v>
      </c>
      <c r="C33" s="78"/>
      <c r="D33" s="78"/>
      <c r="E33" s="78"/>
      <c r="F33" s="78"/>
      <c r="G33" s="78"/>
      <c r="H33" s="78"/>
      <c r="I33" s="78"/>
      <c r="J33" s="78"/>
      <c r="K33" s="79"/>
    </row>
    <row r="34" ht="15.75" customHeight="1">
      <c r="A34" s="81"/>
      <c r="B34" s="84"/>
      <c r="C34" s="84"/>
      <c r="D34" s="84"/>
      <c r="E34" s="84"/>
      <c r="F34" s="84"/>
      <c r="G34" s="84"/>
      <c r="H34" s="84"/>
      <c r="I34" s="84"/>
      <c r="J34" s="84"/>
      <c r="K34" s="84"/>
    </row>
    <row r="35" ht="15.75" customHeight="1">
      <c r="A35" s="81"/>
      <c r="B35" s="84"/>
      <c r="C35" s="84"/>
      <c r="D35" s="84"/>
      <c r="E35" s="84"/>
      <c r="F35" s="84"/>
      <c r="G35" s="84"/>
      <c r="H35" s="84"/>
      <c r="I35" s="84"/>
      <c r="J35" s="84"/>
      <c r="K35" s="84"/>
    </row>
    <row r="36" ht="15.75" customHeight="1">
      <c r="A36" s="81"/>
      <c r="B36" s="84"/>
      <c r="C36" s="84"/>
      <c r="D36" s="84"/>
      <c r="E36" s="84"/>
      <c r="F36" s="84"/>
      <c r="G36" s="84"/>
      <c r="H36" s="84"/>
      <c r="I36" s="84"/>
      <c r="J36" s="84"/>
      <c r="K36" s="84"/>
    </row>
    <row r="37" ht="15.75" customHeight="1">
      <c r="A37" s="85" t="s">
        <v>88</v>
      </c>
      <c r="B37" s="86"/>
      <c r="C37" s="78"/>
      <c r="D37" s="78"/>
      <c r="E37" s="78"/>
      <c r="F37" s="78"/>
      <c r="G37" s="78"/>
      <c r="H37" s="78"/>
      <c r="I37" s="78"/>
      <c r="J37" s="78"/>
      <c r="K37" s="79"/>
    </row>
    <row r="38" ht="15.75" customHeight="1">
      <c r="A38" s="87">
        <v>1.0</v>
      </c>
      <c r="B38" s="86" t="s">
        <v>89</v>
      </c>
      <c r="C38" s="78"/>
      <c r="D38" s="78"/>
      <c r="E38" s="78"/>
      <c r="F38" s="78"/>
      <c r="G38" s="78"/>
      <c r="H38" s="78"/>
      <c r="I38" s="78"/>
      <c r="J38" s="78"/>
      <c r="K38" s="79"/>
    </row>
    <row r="39" ht="15.75" customHeight="1">
      <c r="A39" s="87">
        <v>2.0</v>
      </c>
      <c r="B39" s="86" t="s">
        <v>90</v>
      </c>
      <c r="C39" s="78"/>
      <c r="D39" s="78"/>
      <c r="E39" s="78"/>
      <c r="F39" s="78"/>
      <c r="G39" s="78"/>
      <c r="H39" s="78"/>
      <c r="I39" s="78"/>
      <c r="J39" s="78"/>
      <c r="K39" s="79"/>
    </row>
    <row r="40" ht="15.75" customHeight="1">
      <c r="A40" s="87">
        <v>3.0</v>
      </c>
      <c r="B40" s="86" t="s">
        <v>91</v>
      </c>
      <c r="C40" s="78"/>
      <c r="D40" s="78"/>
      <c r="E40" s="78"/>
      <c r="F40" s="78"/>
      <c r="G40" s="78"/>
      <c r="H40" s="78"/>
      <c r="I40" s="78"/>
      <c r="J40" s="78"/>
      <c r="K40" s="79"/>
    </row>
    <row r="41" ht="15.75" customHeight="1">
      <c r="A41" s="88">
        <v>4.0</v>
      </c>
      <c r="B41" s="89" t="s">
        <v>92</v>
      </c>
      <c r="C41" s="2"/>
      <c r="D41" s="2"/>
      <c r="E41" s="2"/>
      <c r="F41" s="2"/>
      <c r="G41" s="2"/>
      <c r="H41" s="2"/>
      <c r="I41" s="2"/>
      <c r="J41" s="2"/>
      <c r="K41" s="3"/>
    </row>
    <row r="42" ht="15.75" customHeight="1">
      <c r="A42" s="87"/>
      <c r="B42" s="86"/>
      <c r="C42" s="78"/>
      <c r="D42" s="78"/>
      <c r="E42" s="78"/>
      <c r="F42" s="78"/>
      <c r="G42" s="78"/>
      <c r="H42" s="78"/>
      <c r="I42" s="78"/>
      <c r="J42" s="78"/>
      <c r="K42" s="79"/>
    </row>
    <row r="43" ht="15.75" customHeight="1">
      <c r="A43" s="87"/>
      <c r="B43" s="86"/>
      <c r="C43" s="78"/>
      <c r="D43" s="78"/>
      <c r="E43" s="78"/>
      <c r="F43" s="78"/>
      <c r="G43" s="78"/>
      <c r="H43" s="78"/>
      <c r="I43" s="78"/>
      <c r="J43" s="78"/>
      <c r="K43" s="79"/>
    </row>
    <row r="44" ht="15.75" customHeight="1">
      <c r="A44" s="87"/>
      <c r="B44" s="86"/>
      <c r="C44" s="78"/>
      <c r="D44" s="78"/>
      <c r="E44" s="78"/>
      <c r="F44" s="78"/>
      <c r="G44" s="78"/>
      <c r="H44" s="78"/>
      <c r="I44" s="78"/>
      <c r="J44" s="78"/>
      <c r="K44" s="79"/>
    </row>
    <row r="45" ht="15.75" customHeight="1"/>
    <row r="46" ht="25.5" customHeight="1">
      <c r="A46" s="90"/>
      <c r="B46" s="91" t="s">
        <v>93</v>
      </c>
      <c r="C46" s="92"/>
      <c r="D46" s="90"/>
      <c r="E46" s="92"/>
      <c r="F46" s="92"/>
      <c r="G46" s="92"/>
      <c r="H46" s="92"/>
      <c r="I46" s="92"/>
      <c r="J46" s="93"/>
    </row>
    <row r="47" ht="33.0" customHeight="1">
      <c r="A47" s="94" t="s">
        <v>94</v>
      </c>
      <c r="B47" s="94" t="s">
        <v>95</v>
      </c>
      <c r="C47" s="94" t="s">
        <v>96</v>
      </c>
      <c r="D47" s="94" t="s">
        <v>97</v>
      </c>
      <c r="E47" s="94" t="s">
        <v>98</v>
      </c>
      <c r="F47" s="94" t="s">
        <v>99</v>
      </c>
      <c r="G47" s="94" t="s">
        <v>100</v>
      </c>
      <c r="H47" s="94" t="s">
        <v>101</v>
      </c>
      <c r="I47" s="94" t="s">
        <v>102</v>
      </c>
      <c r="J47" s="94" t="s">
        <v>103</v>
      </c>
      <c r="K47" s="95"/>
    </row>
    <row r="48" ht="25.5" customHeight="1">
      <c r="A48" s="96" t="s">
        <v>104</v>
      </c>
      <c r="B48" s="97" t="s">
        <v>75</v>
      </c>
      <c r="C48" s="98" t="s">
        <v>105</v>
      </c>
      <c r="D48" s="99" t="s">
        <v>106</v>
      </c>
      <c r="E48" s="100" t="s">
        <v>107</v>
      </c>
      <c r="F48" s="101"/>
      <c r="G48" s="102"/>
      <c r="H48" s="102"/>
      <c r="I48" s="102"/>
      <c r="J48" s="103">
        <v>0.0</v>
      </c>
    </row>
    <row r="49" ht="25.5" customHeight="1">
      <c r="A49" s="104" t="s">
        <v>108</v>
      </c>
      <c r="B49" s="105"/>
      <c r="C49" s="106" t="s">
        <v>109</v>
      </c>
      <c r="D49" s="107" t="s">
        <v>106</v>
      </c>
      <c r="E49" s="108" t="s">
        <v>110</v>
      </c>
      <c r="F49" s="109"/>
      <c r="G49" s="109"/>
      <c r="H49" s="109"/>
      <c r="I49" s="109"/>
      <c r="J49" s="110">
        <v>0.0</v>
      </c>
    </row>
    <row r="50" ht="25.5" customHeight="1">
      <c r="A50" s="104" t="s">
        <v>111</v>
      </c>
      <c r="B50" s="111" t="s">
        <v>77</v>
      </c>
      <c r="C50" s="106" t="s">
        <v>105</v>
      </c>
      <c r="D50" s="107" t="s">
        <v>106</v>
      </c>
      <c r="E50" s="108" t="s">
        <v>112</v>
      </c>
      <c r="F50" s="109"/>
      <c r="G50" s="109"/>
      <c r="H50" s="109"/>
      <c r="I50" s="109"/>
      <c r="J50" s="110">
        <v>0.0</v>
      </c>
    </row>
    <row r="51" ht="30.0" customHeight="1">
      <c r="A51" s="112"/>
      <c r="B51" s="113"/>
      <c r="C51" s="114" t="s">
        <v>113</v>
      </c>
      <c r="D51" s="115" t="s">
        <v>106</v>
      </c>
      <c r="E51" s="116" t="s">
        <v>114</v>
      </c>
      <c r="F51" s="117"/>
      <c r="G51" s="117"/>
      <c r="H51" s="117"/>
      <c r="I51" s="117"/>
      <c r="J51" s="118">
        <v>0.0</v>
      </c>
    </row>
    <row r="52" ht="25.5" customHeight="1">
      <c r="A52" s="119" t="s">
        <v>115</v>
      </c>
      <c r="B52" s="120" t="s">
        <v>79</v>
      </c>
      <c r="C52" s="121"/>
      <c r="D52" s="122" t="s">
        <v>106</v>
      </c>
      <c r="E52" s="123" t="s">
        <v>116</v>
      </c>
      <c r="F52" s="124"/>
      <c r="G52" s="124"/>
      <c r="H52" s="124"/>
      <c r="I52" s="124"/>
      <c r="J52" s="125">
        <v>0.0</v>
      </c>
    </row>
    <row r="53" ht="25.5" customHeight="1">
      <c r="A53" s="126" t="s">
        <v>117</v>
      </c>
      <c r="B53" s="105"/>
      <c r="C53" s="106"/>
      <c r="D53" s="107" t="s">
        <v>106</v>
      </c>
      <c r="E53" s="127"/>
      <c r="F53" s="109"/>
      <c r="G53" s="109"/>
      <c r="H53" s="109"/>
      <c r="I53" s="109"/>
      <c r="J53" s="128">
        <v>0.0</v>
      </c>
    </row>
    <row r="54" ht="25.5" customHeight="1">
      <c r="A54" s="126" t="s">
        <v>118</v>
      </c>
      <c r="B54" s="111" t="s">
        <v>81</v>
      </c>
      <c r="C54" s="106"/>
      <c r="D54" s="129" t="s">
        <v>106</v>
      </c>
      <c r="E54" s="127"/>
      <c r="F54" s="109"/>
      <c r="G54" s="109"/>
      <c r="H54" s="109"/>
      <c r="I54" s="109"/>
      <c r="J54" s="128">
        <v>0.0</v>
      </c>
    </row>
    <row r="55" ht="25.5" customHeight="1">
      <c r="A55" s="130"/>
      <c r="B55" s="131"/>
      <c r="C55" s="132"/>
      <c r="D55" s="133" t="s">
        <v>106</v>
      </c>
      <c r="E55" s="134" t="s">
        <v>119</v>
      </c>
      <c r="F55" s="135"/>
      <c r="G55" s="135"/>
      <c r="H55" s="135"/>
      <c r="I55" s="135"/>
      <c r="J55" s="136">
        <v>0.0</v>
      </c>
    </row>
    <row r="56" ht="25.5" customHeight="1">
      <c r="A56" s="137" t="s">
        <v>120</v>
      </c>
      <c r="B56" s="138" t="s">
        <v>121</v>
      </c>
      <c r="C56" s="139"/>
      <c r="D56" s="140" t="s">
        <v>106</v>
      </c>
      <c r="E56" s="141" t="s">
        <v>112</v>
      </c>
      <c r="F56" s="124"/>
      <c r="G56" s="124"/>
      <c r="H56" s="124"/>
      <c r="I56" s="124"/>
      <c r="J56" s="125">
        <v>0.0</v>
      </c>
      <c r="K56" s="59"/>
    </row>
    <row r="57" ht="25.5" customHeight="1">
      <c r="A57" s="142" t="s">
        <v>122</v>
      </c>
      <c r="B57" s="105"/>
      <c r="C57" s="52"/>
      <c r="D57" s="143" t="s">
        <v>106</v>
      </c>
      <c r="E57" s="144"/>
      <c r="F57" s="109"/>
      <c r="G57" s="109"/>
      <c r="H57" s="109"/>
      <c r="I57" s="109"/>
      <c r="J57" s="128">
        <v>0.0</v>
      </c>
      <c r="K57" s="59"/>
    </row>
    <row r="58" ht="25.5" customHeight="1">
      <c r="A58" s="145">
        <v>45995.0</v>
      </c>
      <c r="B58" s="146" t="s">
        <v>123</v>
      </c>
      <c r="C58" s="52"/>
      <c r="D58" s="143" t="s">
        <v>106</v>
      </c>
      <c r="E58" s="144"/>
      <c r="F58" s="109"/>
      <c r="G58" s="109"/>
      <c r="H58" s="109"/>
      <c r="I58" s="109"/>
      <c r="J58" s="128">
        <v>0.0</v>
      </c>
      <c r="K58" s="59"/>
    </row>
    <row r="59" ht="25.5" customHeight="1">
      <c r="A59" s="147"/>
      <c r="B59" s="131"/>
      <c r="C59" s="148"/>
      <c r="D59" s="149" t="s">
        <v>106</v>
      </c>
      <c r="E59" s="150" t="s">
        <v>124</v>
      </c>
      <c r="F59" s="135"/>
      <c r="G59" s="135"/>
      <c r="H59" s="135"/>
      <c r="I59" s="135"/>
      <c r="J59" s="136">
        <v>0.0</v>
      </c>
      <c r="K59" s="59"/>
    </row>
    <row r="60" ht="25.5" customHeight="1">
      <c r="A60" s="137" t="s">
        <v>125</v>
      </c>
      <c r="B60" s="151"/>
      <c r="C60" s="152"/>
      <c r="D60" s="140" t="s">
        <v>106</v>
      </c>
      <c r="E60" s="152"/>
      <c r="F60" s="124"/>
      <c r="G60" s="124"/>
      <c r="H60" s="124"/>
      <c r="I60" s="124"/>
      <c r="J60" s="125">
        <v>0.0</v>
      </c>
    </row>
    <row r="61" ht="25.5" customHeight="1">
      <c r="A61" s="142" t="s">
        <v>126</v>
      </c>
      <c r="B61" s="105"/>
      <c r="C61" s="43"/>
      <c r="D61" s="143" t="s">
        <v>106</v>
      </c>
      <c r="E61" s="43"/>
      <c r="F61" s="109"/>
      <c r="G61" s="109"/>
      <c r="H61" s="109"/>
      <c r="I61" s="109"/>
      <c r="J61" s="128">
        <v>0.0</v>
      </c>
    </row>
    <row r="62" ht="25.5" customHeight="1">
      <c r="A62" s="142" t="s">
        <v>127</v>
      </c>
      <c r="B62" s="153"/>
      <c r="C62" s="43"/>
      <c r="D62" s="143" t="s">
        <v>106</v>
      </c>
      <c r="E62" s="43"/>
      <c r="F62" s="109"/>
      <c r="G62" s="109"/>
      <c r="H62" s="109"/>
      <c r="I62" s="109"/>
      <c r="J62" s="128">
        <v>0.0</v>
      </c>
    </row>
    <row r="63" ht="25.5" customHeight="1">
      <c r="A63" s="147"/>
      <c r="B63" s="131"/>
      <c r="C63" s="154"/>
      <c r="D63" s="149" t="s">
        <v>106</v>
      </c>
      <c r="E63" s="154"/>
      <c r="F63" s="135"/>
      <c r="G63" s="135"/>
      <c r="H63" s="135"/>
      <c r="I63" s="135"/>
      <c r="J63" s="136">
        <v>0.0</v>
      </c>
    </row>
    <row r="64" ht="15.75" customHeight="1">
      <c r="D64" s="60"/>
      <c r="J64" s="62"/>
    </row>
    <row r="65" ht="15.75" customHeight="1">
      <c r="A65" s="155" t="s">
        <v>128</v>
      </c>
      <c r="D65" s="60"/>
      <c r="J65" s="62"/>
    </row>
    <row r="66" ht="15.75" customHeight="1">
      <c r="A66" s="156" t="s">
        <v>129</v>
      </c>
      <c r="B66" s="156" t="s">
        <v>130</v>
      </c>
      <c r="C66" s="156" t="s">
        <v>131</v>
      </c>
      <c r="D66" s="67" t="s">
        <v>132</v>
      </c>
      <c r="E66" s="156" t="s">
        <v>133</v>
      </c>
      <c r="F66" s="156" t="s">
        <v>134</v>
      </c>
      <c r="G66" s="156" t="s">
        <v>135</v>
      </c>
      <c r="H66" s="156" t="s">
        <v>136</v>
      </c>
      <c r="I66" s="156" t="s">
        <v>137</v>
      </c>
      <c r="J66" s="68" t="s">
        <v>138</v>
      </c>
      <c r="K66" s="157"/>
    </row>
    <row r="67" ht="15.75" customHeight="1">
      <c r="A67" s="46">
        <v>1.0</v>
      </c>
      <c r="B67" s="43"/>
      <c r="C67" s="43"/>
      <c r="D67" s="56"/>
      <c r="E67" s="43"/>
      <c r="F67" s="43"/>
      <c r="G67" s="43"/>
      <c r="H67" s="43"/>
      <c r="I67" s="43"/>
      <c r="J67" s="71"/>
    </row>
    <row r="68" ht="15.75" customHeight="1">
      <c r="A68" s="46">
        <v>2.0</v>
      </c>
      <c r="B68" s="43"/>
      <c r="C68" s="43"/>
      <c r="D68" s="56"/>
      <c r="E68" s="43"/>
      <c r="F68" s="43"/>
      <c r="G68" s="43"/>
      <c r="H68" s="43"/>
      <c r="I68" s="43"/>
      <c r="J68" s="71"/>
    </row>
    <row r="69" ht="15.75" customHeight="1">
      <c r="A69" s="155" t="s">
        <v>139</v>
      </c>
      <c r="D69" s="60"/>
      <c r="J69" s="62"/>
    </row>
    <row r="70" ht="15.75" customHeight="1">
      <c r="A70" s="67" t="s">
        <v>140</v>
      </c>
      <c r="B70" s="67" t="s">
        <v>141</v>
      </c>
      <c r="C70" s="67" t="s">
        <v>142</v>
      </c>
      <c r="D70" s="67" t="s">
        <v>143</v>
      </c>
      <c r="E70" s="67" t="s">
        <v>144</v>
      </c>
      <c r="F70" s="67" t="s">
        <v>145</v>
      </c>
      <c r="G70" s="67" t="s">
        <v>146</v>
      </c>
      <c r="H70" s="67" t="s">
        <v>147</v>
      </c>
      <c r="I70" s="67" t="s">
        <v>148</v>
      </c>
      <c r="J70" s="68" t="s">
        <v>149</v>
      </c>
      <c r="K70" s="157"/>
    </row>
    <row r="71" ht="15.75" customHeight="1">
      <c r="A71" s="46">
        <v>1.0</v>
      </c>
      <c r="B71" s="43"/>
      <c r="C71" s="43"/>
      <c r="D71" s="56"/>
      <c r="E71" s="43"/>
      <c r="F71" s="43"/>
      <c r="G71" s="43"/>
      <c r="H71" s="43"/>
      <c r="I71" s="43"/>
      <c r="J71" s="71"/>
    </row>
    <row r="72" ht="15.75" customHeight="1">
      <c r="A72" s="156" t="s">
        <v>150</v>
      </c>
      <c r="B72" s="158"/>
      <c r="C72" s="158"/>
      <c r="D72" s="159"/>
      <c r="E72" s="158"/>
      <c r="F72" s="158"/>
      <c r="G72" s="158"/>
      <c r="H72" s="158"/>
      <c r="I72" s="158"/>
      <c r="J72" s="160"/>
      <c r="K72" s="157"/>
    </row>
    <row r="73" ht="15.75" customHeight="1">
      <c r="A73" s="161" t="s">
        <v>140</v>
      </c>
      <c r="B73" s="161" t="s">
        <v>151</v>
      </c>
      <c r="C73" s="67" t="s">
        <v>152</v>
      </c>
      <c r="D73" s="67" t="s">
        <v>153</v>
      </c>
      <c r="E73" s="67" t="s">
        <v>154</v>
      </c>
      <c r="F73" s="67" t="s">
        <v>155</v>
      </c>
      <c r="G73" s="67" t="s">
        <v>156</v>
      </c>
      <c r="H73" s="158"/>
      <c r="I73" s="158"/>
      <c r="J73" s="160"/>
      <c r="K73" s="157"/>
    </row>
    <row r="74" ht="15.75" customHeight="1">
      <c r="A74" s="46">
        <v>1.0</v>
      </c>
      <c r="B74" s="43"/>
      <c r="C74" s="43"/>
      <c r="D74" s="162"/>
      <c r="E74" s="43"/>
      <c r="F74" s="43"/>
      <c r="G74" s="43"/>
      <c r="H74" s="43"/>
      <c r="I74" s="43"/>
      <c r="J74" s="71"/>
    </row>
    <row r="75" ht="15.75" customHeight="1">
      <c r="A75" s="155" t="s">
        <v>157</v>
      </c>
      <c r="D75" s="60"/>
      <c r="J75" s="62"/>
    </row>
    <row r="76" ht="15.75" customHeight="1">
      <c r="A76" s="156" t="s">
        <v>140</v>
      </c>
      <c r="B76" s="156" t="s">
        <v>158</v>
      </c>
      <c r="C76" s="156" t="s">
        <v>159</v>
      </c>
      <c r="D76" s="67" t="s">
        <v>155</v>
      </c>
      <c r="E76" s="156" t="s">
        <v>160</v>
      </c>
      <c r="F76" s="156" t="s">
        <v>161</v>
      </c>
      <c r="G76" s="158"/>
      <c r="H76" s="158"/>
      <c r="I76" s="158"/>
      <c r="J76" s="160"/>
      <c r="K76" s="157"/>
    </row>
    <row r="77" ht="15.75" customHeight="1">
      <c r="A77" s="46">
        <v>1.0</v>
      </c>
      <c r="B77" s="43"/>
      <c r="C77" s="43"/>
      <c r="D77" s="56"/>
      <c r="E77" s="43"/>
      <c r="F77" s="43"/>
      <c r="G77" s="43"/>
      <c r="H77" s="43"/>
      <c r="I77" s="43"/>
      <c r="J77" s="71"/>
    </row>
    <row r="78" ht="15.75" customHeight="1">
      <c r="A78" s="46">
        <v>2.0</v>
      </c>
      <c r="B78" s="43"/>
      <c r="C78" s="43"/>
      <c r="D78" s="56"/>
      <c r="E78" s="43"/>
      <c r="F78" s="43"/>
      <c r="G78" s="43"/>
      <c r="H78" s="43"/>
      <c r="I78" s="43"/>
      <c r="J78" s="71"/>
    </row>
    <row r="79" ht="15.75" customHeight="1">
      <c r="D79" s="60"/>
      <c r="J79" s="62"/>
    </row>
    <row r="80" ht="23.25" customHeight="1">
      <c r="A80" s="163" t="s">
        <v>162</v>
      </c>
      <c r="J80" s="62"/>
    </row>
    <row r="81" ht="15.75" customHeight="1">
      <c r="A81" s="164" t="s">
        <v>155</v>
      </c>
      <c r="B81" s="164" t="s">
        <v>163</v>
      </c>
      <c r="C81" s="164" t="s">
        <v>164</v>
      </c>
      <c r="D81" s="164" t="s">
        <v>165</v>
      </c>
      <c r="F81" s="164" t="s">
        <v>166</v>
      </c>
      <c r="G81" s="164" t="s">
        <v>167</v>
      </c>
      <c r="H81" s="165"/>
      <c r="I81" s="165"/>
      <c r="J81" s="165"/>
      <c r="K81" s="62"/>
    </row>
    <row r="82" ht="16.5" customHeight="1">
      <c r="A82" s="47" t="s">
        <v>168</v>
      </c>
      <c r="B82" s="47" t="s">
        <v>168</v>
      </c>
      <c r="C82" s="43"/>
      <c r="D82" s="56"/>
      <c r="E82" s="43"/>
      <c r="F82" s="46" t="s">
        <v>169</v>
      </c>
      <c r="G82" s="46" t="b">
        <v>0</v>
      </c>
      <c r="H82" s="43"/>
      <c r="I82" s="43"/>
      <c r="J82" s="71"/>
    </row>
    <row r="83" ht="15.75" customHeight="1">
      <c r="A83" s="47" t="s">
        <v>170</v>
      </c>
      <c r="B83" s="166" t="s">
        <v>171</v>
      </c>
      <c r="C83" s="43"/>
      <c r="D83" s="56"/>
      <c r="E83" s="43"/>
      <c r="F83" s="43"/>
      <c r="G83" s="46" t="b">
        <v>1</v>
      </c>
      <c r="H83" s="43"/>
      <c r="I83" s="43"/>
      <c r="J83" s="71"/>
    </row>
    <row r="84" ht="15.75" customHeight="1">
      <c r="A84" s="167">
        <v>45719.0</v>
      </c>
      <c r="B84" s="166" t="s">
        <v>171</v>
      </c>
      <c r="C84" s="43"/>
      <c r="D84" s="56"/>
      <c r="E84" s="43"/>
      <c r="F84" s="43"/>
      <c r="G84" s="46" t="b">
        <v>1</v>
      </c>
      <c r="H84" s="43"/>
      <c r="I84" s="43"/>
      <c r="J84" s="71"/>
    </row>
    <row r="85" ht="15.75" customHeight="1">
      <c r="A85" s="167">
        <v>45841.0</v>
      </c>
      <c r="B85" s="166" t="s">
        <v>171</v>
      </c>
      <c r="C85" s="43"/>
      <c r="D85" s="56"/>
      <c r="E85" s="43"/>
      <c r="F85" s="46"/>
      <c r="G85" s="46" t="b">
        <v>1</v>
      </c>
      <c r="H85" s="43"/>
      <c r="I85" s="43"/>
      <c r="J85" s="71"/>
    </row>
    <row r="86" ht="15.75" customHeight="1">
      <c r="A86" s="167">
        <v>45933.0</v>
      </c>
      <c r="B86" s="166" t="s">
        <v>171</v>
      </c>
      <c r="C86" s="43"/>
      <c r="D86" s="56"/>
      <c r="E86" s="43"/>
      <c r="F86" s="46"/>
      <c r="G86" s="46" t="b">
        <v>1</v>
      </c>
      <c r="H86" s="43"/>
      <c r="I86" s="43"/>
      <c r="J86" s="71"/>
    </row>
    <row r="87" ht="15.75" customHeight="1">
      <c r="A87" s="47" t="s">
        <v>172</v>
      </c>
      <c r="B87" s="166" t="s">
        <v>171</v>
      </c>
      <c r="C87" s="43"/>
      <c r="D87" s="56"/>
      <c r="E87" s="43"/>
      <c r="F87" s="46"/>
      <c r="G87" s="46" t="b">
        <v>1</v>
      </c>
      <c r="H87" s="43"/>
      <c r="I87" s="43"/>
      <c r="J87" s="71"/>
    </row>
    <row r="88" ht="15.75" customHeight="1">
      <c r="A88" s="47" t="s">
        <v>173</v>
      </c>
      <c r="B88" s="166" t="s">
        <v>171</v>
      </c>
      <c r="C88" s="43"/>
      <c r="D88" s="56"/>
      <c r="E88" s="43"/>
      <c r="F88" s="43"/>
      <c r="G88" s="46" t="b">
        <v>1</v>
      </c>
      <c r="H88" s="43"/>
      <c r="I88" s="43"/>
      <c r="J88" s="71"/>
    </row>
    <row r="89" ht="15.75" customHeight="1">
      <c r="A89" s="167">
        <v>45692.0</v>
      </c>
      <c r="B89" s="166" t="s">
        <v>171</v>
      </c>
      <c r="C89" s="43"/>
      <c r="D89" s="56"/>
      <c r="E89" s="43"/>
      <c r="F89" s="43"/>
      <c r="G89" s="46" t="b">
        <v>1</v>
      </c>
      <c r="H89" s="43"/>
      <c r="I89" s="43"/>
      <c r="J89" s="71"/>
    </row>
    <row r="90" ht="15.75" customHeight="1">
      <c r="A90" s="167">
        <v>45934.0</v>
      </c>
      <c r="B90" s="166" t="s">
        <v>171</v>
      </c>
      <c r="C90" s="43"/>
      <c r="D90" s="56"/>
      <c r="E90" s="43"/>
      <c r="F90" s="43"/>
      <c r="G90" s="46" t="b">
        <v>1</v>
      </c>
      <c r="H90" s="43"/>
      <c r="I90" s="43"/>
      <c r="J90" s="71"/>
    </row>
    <row r="91" ht="15.75" customHeight="1">
      <c r="A91" s="47" t="s">
        <v>174</v>
      </c>
      <c r="B91" s="166" t="s">
        <v>171</v>
      </c>
      <c r="C91" s="43"/>
      <c r="D91" s="56"/>
      <c r="E91" s="43"/>
      <c r="F91" s="43"/>
      <c r="G91" s="46" t="b">
        <v>1</v>
      </c>
      <c r="H91" s="43"/>
      <c r="I91" s="43"/>
      <c r="J91" s="71"/>
    </row>
    <row r="92" ht="15.75" customHeight="1">
      <c r="A92" s="167"/>
      <c r="B92" s="56"/>
      <c r="C92" s="43"/>
      <c r="D92" s="56"/>
      <c r="E92" s="43"/>
      <c r="F92" s="43"/>
      <c r="G92" s="46" t="b">
        <v>0</v>
      </c>
      <c r="H92" s="43"/>
      <c r="I92" s="43"/>
      <c r="J92" s="71"/>
    </row>
    <row r="93" ht="15.75" customHeight="1">
      <c r="A93" s="167"/>
      <c r="B93" s="56"/>
      <c r="C93" s="43"/>
      <c r="D93" s="56"/>
      <c r="E93" s="43"/>
      <c r="F93" s="43"/>
      <c r="G93" s="46" t="b">
        <v>0</v>
      </c>
      <c r="H93" s="43"/>
      <c r="I93" s="43"/>
      <c r="J93" s="71"/>
    </row>
  </sheetData>
  <mergeCells count="33">
    <mergeCell ref="A1:K2"/>
    <mergeCell ref="J4:K4"/>
    <mergeCell ref="B5:F5"/>
    <mergeCell ref="A7:A10"/>
    <mergeCell ref="B21:K21"/>
    <mergeCell ref="B22:K22"/>
    <mergeCell ref="B23:K23"/>
    <mergeCell ref="B24:K24"/>
    <mergeCell ref="B27:K27"/>
    <mergeCell ref="B28:K28"/>
    <mergeCell ref="B29:K29"/>
    <mergeCell ref="B30:K30"/>
    <mergeCell ref="B31:K31"/>
    <mergeCell ref="B32:K32"/>
    <mergeCell ref="B33:K33"/>
    <mergeCell ref="B37:K37"/>
    <mergeCell ref="B38:K38"/>
    <mergeCell ref="B39:K39"/>
    <mergeCell ref="B40:K40"/>
    <mergeCell ref="B41:K41"/>
    <mergeCell ref="B42:K42"/>
    <mergeCell ref="B56:B57"/>
    <mergeCell ref="B58:B59"/>
    <mergeCell ref="B60:B61"/>
    <mergeCell ref="B62:B63"/>
    <mergeCell ref="D81:E81"/>
    <mergeCell ref="B43:K43"/>
    <mergeCell ref="B44:K44"/>
    <mergeCell ref="B45:K45"/>
    <mergeCell ref="B48:B49"/>
    <mergeCell ref="B50:B51"/>
    <mergeCell ref="B52:B53"/>
    <mergeCell ref="B54:B55"/>
  </mergeCells>
  <conditionalFormatting sqref="D48:D55">
    <cfRule type="containsText" dxfId="0" priority="1" operator="containsText" text="In Progress">
      <formula>NOT(ISERROR(SEARCH(("In Progress"),(D48))))</formula>
    </cfRule>
  </conditionalFormatting>
  <conditionalFormatting sqref="D48:D55">
    <cfRule type="containsText" dxfId="1" priority="2" operator="containsText" text="Complete">
      <formula>NOT(ISERROR(SEARCH(("Complete"),(D48))))</formula>
    </cfRule>
  </conditionalFormatting>
  <conditionalFormatting sqref="D48:D55">
    <cfRule type="containsText" dxfId="2" priority="3" operator="containsText" text="On Hold">
      <formula>NOT(ISERROR(SEARCH(("On Hold"),(D48))))</formula>
    </cfRule>
  </conditionalFormatting>
  <conditionalFormatting sqref="D48:D55">
    <cfRule type="containsText" dxfId="3" priority="4" operator="containsText" text="Overdue">
      <formula>NOT(ISERROR(SEARCH(("Overdue"),(D48))))</formula>
    </cfRule>
  </conditionalFormatting>
  <conditionalFormatting sqref="D48:D55">
    <cfRule type="containsText" dxfId="4" priority="5" operator="containsText" text="Not Started">
      <formula>NOT(ISERROR(SEARCH(("Not Started"),(D48))))</formula>
    </cfRule>
  </conditionalFormatting>
  <conditionalFormatting sqref="J48:J63">
    <cfRule type="cellIs" dxfId="5" priority="6" operator="between">
      <formula>"0%"</formula>
      <formula>"40%"</formula>
    </cfRule>
  </conditionalFormatting>
  <conditionalFormatting sqref="J48:J63">
    <cfRule type="cellIs" dxfId="6" priority="7" operator="between">
      <formula>"41%"</formula>
      <formula>"60%"</formula>
    </cfRule>
  </conditionalFormatting>
  <conditionalFormatting sqref="J48:J63">
    <cfRule type="cellIs" dxfId="7" priority="8" operator="between">
      <formula>"61%"</formula>
      <formula>"90%"</formula>
    </cfRule>
  </conditionalFormatting>
  <conditionalFormatting sqref="J48:J63">
    <cfRule type="cellIs" dxfId="8" priority="9" operator="equal">
      <formula>"100%"</formula>
    </cfRule>
  </conditionalFormatting>
  <dataValidations>
    <dataValidation type="custom" allowBlank="1" showDropDown="1" sqref="E48:E55">
      <formula1>OR(NOT(ISERROR(DATEVALUE(E48))), AND(ISNUMBER(E48), LEFT(CELL("format", E48))="D"))</formula1>
    </dataValidation>
    <dataValidation type="list" allowBlank="1" sqref="B4">
      <formula1>"Data Science,Machine Learning &amp; AI,Network &amp; Security,IoT,-Select-"</formula1>
    </dataValidation>
    <dataValidation type="list" allowBlank="1" showErrorMessage="1" sqref="D4">
      <formula1>"CORE,AI,AIEC,CC,CSF,BlockChain,-Select-"</formula1>
    </dataValidation>
    <dataValidation type="list" allowBlank="1" showErrorMessage="1" sqref="J3">
      <formula1>"CRIEYA,AIC,DEPARTMENT,OTHER,NO,-Select-"</formula1>
    </dataValidation>
    <dataValidation type="custom" allowBlank="1" showDropDown="1" sqref="F48:I63">
      <formula1>OR(NOT(ISERROR(DATEVALUE(F48))), AND(ISNUMBER(F48), LEFT(CELL("format", F48))="D"))</formula1>
    </dataValidation>
    <dataValidation type="list" allowBlank="1" showErrorMessage="1" sqref="G74">
      <formula1>"Applied,Granted"</formula1>
    </dataValidation>
    <dataValidation type="list" allowBlank="1" showErrorMessage="1" sqref="H3">
      <formula1>"NA,In Progress,Submitted,Granted,-Select-"</formula1>
    </dataValidation>
    <dataValidation type="list" allowBlank="1" sqref="D48:D63">
      <formula1>"In Progress,Complete,On Hold,Overdue,Not Started"</formula1>
    </dataValidation>
    <dataValidation type="list" allowBlank="1" showErrorMessage="1" sqref="J71:J74">
      <formula1>"Filed,Published,Granted"</formula1>
    </dataValidation>
    <dataValidation type="list" allowBlank="1" showErrorMessage="1" sqref="C77:C78">
      <formula1>"Institute,University,State,National,International"</formula1>
    </dataValidation>
    <dataValidation type="list" allowBlank="1" showErrorMessage="1" sqref="H4">
      <formula1>"NA,Prepared,Submitted,Accepted,Published,-Select-"</formula1>
    </dataValidation>
    <dataValidation type="list" allowBlank="1" showErrorMessage="1" sqref="F4">
      <formula1>"1 No Poverty,2 Zero Hunger,3 Good-Health and Well Being,4 Quality Education,5 Gender Equality,6 Clean Water and Sanitation,7 Affordable and Clean Energy,8 Decent Work and Economic Growth,9 Industry, Innovation and Infrastructure,10 Reduced Inequality,11 S"&amp;"ustainable Cities and Communities,12 Responsible Consumption and Production,13 Climate Action,14 Life Below Water,15 Life on Land,16 Peace Justice and Strong Institutions,17 Partnerships for the Goals,-Select-"</formula1>
    </dataValidation>
    <dataValidation type="list" allowBlank="1" sqref="J48:J63">
      <formula1>"0%,10%,20%,30%,40%,50%,60%,70%,80%,90%,100%"</formula1>
    </dataValidation>
    <dataValidation type="list" allowBlank="1" showErrorMessage="1" sqref="D3">
      <formula1>"SY-1,SY-2,SY-3,SY-4,SY-5,SY-6,SY-7,SY-8,SY-9,SY-10,SY-11,SY-12,SY-13,SY-14,SY-15,SY-16,SY-17,SY-18,TY-Core-1,TY-Core 2,TY-Core 3,TY-Core-6,TY-AI 1,TY-AI 2,TY-AI 3,TY-AI 4,TY-AIEC,TY-BDCE,TY-CC 1,TY-CC 2,TY-CSF 1,TY-CSF 2,TY-BlockChain,LY-CORE 1,LY-CORE 2,"&amp;"LY-CORE 3,LY-ISA 1,LY-ISA 2,LY-ISA 3,LY-NS,-Select-"</formula1>
    </dataValidation>
  </dataValidations>
  <printOptions/>
  <pageMargins bottom="0.3249701314217443" footer="0.0" header="0.0" left="0.25" right="0.25" top="0.3046594982078853"/>
  <pageSetup orientation="portrait"/>
  <rowBreaks count="2" manualBreakCount="2">
    <brk man="1"/>
    <brk id="88" man="1"/>
  </rowBreaks>
  <colBreaks count="2" manualBreakCount="2">
    <brk man="1"/>
    <brk id="11" man="1"/>
  </colBreaks>
  <drawing r:id="rId2"/>
  <legacyDrawing r:id="rId3"/>
</worksheet>
</file>